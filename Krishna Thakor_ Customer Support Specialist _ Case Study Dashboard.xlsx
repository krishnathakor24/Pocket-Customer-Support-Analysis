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krish\Downloads\"/>
    </mc:Choice>
  </mc:AlternateContent>
  <xr:revisionPtr revIDLastSave="0" documentId="13_ncr:1_{F7674F50-DB70-46F7-9240-195D11953DD7}" xr6:coauthVersionLast="47" xr6:coauthVersionMax="47" xr10:uidLastSave="{00000000-0000-0000-0000-000000000000}"/>
  <bookViews>
    <workbookView xWindow="-110" yWindow="-110" windowWidth="19420" windowHeight="11020" activeTab="1" xr2:uid="{00000000-000D-0000-FFFF-FFFF00000000}"/>
  </bookViews>
  <sheets>
    <sheet name="Customer Support Dashboard" sheetId="5" r:id="rId1"/>
    <sheet name="tickets" sheetId="1" r:id="rId2"/>
    <sheet name="data_dictionary" sheetId="2" r:id="rId3"/>
    <sheet name="1. Total Tickets by Category" sheetId="9" r:id="rId4"/>
    <sheet name="2. Tickets by Channel" sheetId="11" r:id="rId5"/>
    <sheet name="3. Tickets by App Version" sheetId="12" r:id="rId6"/>
    <sheet name="4. Tickets by OS" sheetId="13" r:id="rId7"/>
    <sheet name="5. Customer Satisfaction" sheetId="14" r:id="rId8"/>
    <sheet name="6. Customer Support Rating" sheetId="15" r:id="rId9"/>
    <sheet name="7. Time taken to resolve ticket" sheetId="16" r:id="rId10"/>
    <sheet name="8. SLA for First Response" sheetId="18" r:id="rId11"/>
  </sheets>
  <definedNames>
    <definedName name="Slicer_app_version">#N/A</definedName>
    <definedName name="Slicer_category">#N/A</definedName>
    <definedName name="Slicer_channel">#N/A</definedName>
    <definedName name="Slicer_csat">#N/A</definedName>
    <definedName name="Slicer_Month">#N/A</definedName>
    <definedName name="Slicer_os">#N/A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Lst>
</workbook>
</file>

<file path=xl/calcChain.xml><?xml version="1.0" encoding="utf-8"?>
<calcChain xmlns="http://schemas.openxmlformats.org/spreadsheetml/2006/main">
  <c r="P3" i="1" l="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alcChain>
</file>

<file path=xl/sharedStrings.xml><?xml version="1.0" encoding="utf-8"?>
<sst xmlns="http://schemas.openxmlformats.org/spreadsheetml/2006/main" count="1780" uniqueCount="591">
  <si>
    <t>ticket_id</t>
  </si>
  <si>
    <t>created_date</t>
  </si>
  <si>
    <t>channel</t>
  </si>
  <si>
    <t>category</t>
  </si>
  <si>
    <t>subject</t>
  </si>
  <si>
    <t>app_version</t>
  </si>
  <si>
    <t>os</t>
  </si>
  <si>
    <t>first_response_hours</t>
  </si>
  <si>
    <t>resolution_hours</t>
  </si>
  <si>
    <t>csat</t>
  </si>
  <si>
    <t>status</t>
  </si>
  <si>
    <t>PKT-4822</t>
  </si>
  <si>
    <t>2026-05-26 15:12</t>
  </si>
  <si>
    <t>Chat</t>
  </si>
  <si>
    <t>Device - pairing</t>
  </si>
  <si>
    <t>Keeps disconnecting during calls</t>
  </si>
  <si>
    <t>Android</t>
  </si>
  <si>
    <t>Resolved</t>
  </si>
  <si>
    <t>PKT-4846</t>
  </si>
  <si>
    <t>2026-05-27 13:00</t>
  </si>
  <si>
    <t>Account / login</t>
  </si>
  <si>
    <t>Email on file is wrong</t>
  </si>
  <si>
    <t>PKT-4827</t>
  </si>
  <si>
    <t>2026-05-27 15:46</t>
  </si>
  <si>
    <t>Email</t>
  </si>
  <si>
    <t>Bluetooth pairing fails</t>
  </si>
  <si>
    <t>PKT-4835</t>
  </si>
  <si>
    <t>2026-05-27 15:49</t>
  </si>
  <si>
    <t>Sync</t>
  </si>
  <si>
    <t>Old recordings missing after update</t>
  </si>
  <si>
    <t>iOS</t>
  </si>
  <si>
    <t>PKT-4829</t>
  </si>
  <si>
    <t>2026-05-28 10:41</t>
  </si>
  <si>
    <t>Device - battery</t>
  </si>
  <si>
    <t>Charging light not coming on</t>
  </si>
  <si>
    <t>PKT-4823</t>
  </si>
  <si>
    <t>2026-05-28 11:09</t>
  </si>
  <si>
    <t>PKT-4825</t>
  </si>
  <si>
    <t>2026-05-28 16:12</t>
  </si>
  <si>
    <t>PKT-4839</t>
  </si>
  <si>
    <t>2026-05-29 08:15</t>
  </si>
  <si>
    <t>Billing</t>
  </si>
  <si>
    <t>Unexpected Pocket Pro charge</t>
  </si>
  <si>
    <t>PKT-4841</t>
  </si>
  <si>
    <t>2026-05-29 10:34</t>
  </si>
  <si>
    <t>Returns / warranty</t>
  </si>
  <si>
    <t>Device arrived damaged</t>
  </si>
  <si>
    <t>PKT-4844</t>
  </si>
  <si>
    <t>2026-05-29 10:55</t>
  </si>
  <si>
    <t>Can't log in to app</t>
  </si>
  <si>
    <t>PKT-4838</t>
  </si>
  <si>
    <t>2026-05-29 10:59</t>
  </si>
  <si>
    <t>Transcription</t>
  </si>
  <si>
    <t>Transcription stuck processing</t>
  </si>
  <si>
    <t>PKT-4826</t>
  </si>
  <si>
    <t>2026-05-29 11:29</t>
  </si>
  <si>
    <t>Pocket won't connect to my phone</t>
  </si>
  <si>
    <t>PKT-4832</t>
  </si>
  <si>
    <t>2026-05-29 15:16</t>
  </si>
  <si>
    <t>Duplicate recordings after sync</t>
  </si>
  <si>
    <t>PKT-4845</t>
  </si>
  <si>
    <t>2026-05-30 20:00</t>
  </si>
  <si>
    <t>PKT-4843</t>
  </si>
  <si>
    <t>2026-05-31 12:51</t>
  </si>
  <si>
    <t>PKT-4842</t>
  </si>
  <si>
    <t>2026-05-31 13:22</t>
  </si>
  <si>
    <t>How do I return my Pocket</t>
  </si>
  <si>
    <t>PKT-4830</t>
  </si>
  <si>
    <t>2026-05-31 16:27</t>
  </si>
  <si>
    <t>PKT-4840</t>
  </si>
  <si>
    <t>2026-05-31 17:03</t>
  </si>
  <si>
    <t>PKT-4821</t>
  </si>
  <si>
    <t>2026-05-31 18:57</t>
  </si>
  <si>
    <t>PKT-4847</t>
  </si>
  <si>
    <t>2026-05-31 19:35</t>
  </si>
  <si>
    <t>Other</t>
  </si>
  <si>
    <t>Feature request: folders</t>
  </si>
  <si>
    <t>PKT-4828</t>
  </si>
  <si>
    <t>2026-06-01 07:14</t>
  </si>
  <si>
    <t>PKT-4824</t>
  </si>
  <si>
    <t>2026-06-01 07:46</t>
  </si>
  <si>
    <t>Can't get it to pair after reset</t>
  </si>
  <si>
    <t>PKT-4831</t>
  </si>
  <si>
    <t>2026-06-01 07:55</t>
  </si>
  <si>
    <t>Dies overnight when idle</t>
  </si>
  <si>
    <t>PKT-4834</t>
  </si>
  <si>
    <t>2026-06-01 09:32</t>
  </si>
  <si>
    <t>Sync stuck at 0%</t>
  </si>
  <si>
    <t>PKT-4837</t>
  </si>
  <si>
    <t>2026-06-01 15:49</t>
  </si>
  <si>
    <t>Garbled transcript on long recording</t>
  </si>
  <si>
    <t>PKT-4833</t>
  </si>
  <si>
    <t>2026-06-01 17:21</t>
  </si>
  <si>
    <t>PKT-4836</t>
  </si>
  <si>
    <t>2026-06-01 19:19</t>
  </si>
  <si>
    <t>App won't sync over wifi</t>
  </si>
  <si>
    <t>PKT-4851</t>
  </si>
  <si>
    <t>2026-06-02 07:29</t>
  </si>
  <si>
    <t>PKT-4879</t>
  </si>
  <si>
    <t>2026-06-02 13:26</t>
  </si>
  <si>
    <t>General question about privacy</t>
  </si>
  <si>
    <t>PKT-4866</t>
  </si>
  <si>
    <t>2026-06-02 13:57</t>
  </si>
  <si>
    <t>Can't update payment method</t>
  </si>
  <si>
    <t>PKT-4854</t>
  </si>
  <si>
    <t>2026-06-02 18:35</t>
  </si>
  <si>
    <t>PKT-4848</t>
  </si>
  <si>
    <t>2026-06-03 07:32</t>
  </si>
  <si>
    <t>PKT-4862</t>
  </si>
  <si>
    <t>2026-06-03 10:52</t>
  </si>
  <si>
    <t>PKT-4878</t>
  </si>
  <si>
    <t>2026-06-03 11:21</t>
  </si>
  <si>
    <t>Is there a web version</t>
  </si>
  <si>
    <t>PKT-4863</t>
  </si>
  <si>
    <t>2026-06-03 13:21</t>
  </si>
  <si>
    <t>PKT-4869</t>
  </si>
  <si>
    <t>2026-06-03 13:42</t>
  </si>
  <si>
    <t>PKT-4856</t>
  </si>
  <si>
    <t>2026-06-03 17:16</t>
  </si>
  <si>
    <t>Battery draining way too fast</t>
  </si>
  <si>
    <t>PKT-4865</t>
  </si>
  <si>
    <t>2026-06-04 07:06</t>
  </si>
  <si>
    <t>PKT-4870</t>
  </si>
  <si>
    <t>2026-06-04 11:13</t>
  </si>
  <si>
    <t>Return label not received</t>
  </si>
  <si>
    <t>PKT-4859</t>
  </si>
  <si>
    <t>2026-06-04 19:35</t>
  </si>
  <si>
    <t>Only lasts a couple of hours now</t>
  </si>
  <si>
    <t>PKT-4852</t>
  </si>
  <si>
    <t>2026-06-04 21:04</t>
  </si>
  <si>
    <t>PKT-4855</t>
  </si>
  <si>
    <t>2026-06-04 21:58</t>
  </si>
  <si>
    <t>PKT-4858</t>
  </si>
  <si>
    <t>2026-06-04 21:59</t>
  </si>
  <si>
    <t>PKT-4849</t>
  </si>
  <si>
    <t>2026-06-06 10:37</t>
  </si>
  <si>
    <t>PKT-4875</t>
  </si>
  <si>
    <t>2026-06-06 10:58</t>
  </si>
  <si>
    <t>Two accounts merged by mistake</t>
  </si>
  <si>
    <t>PKT-4874</t>
  </si>
  <si>
    <t>2026-06-07 07:57</t>
  </si>
  <si>
    <t>PKT-4850</t>
  </si>
  <si>
    <t>2026-06-07 12:15</t>
  </si>
  <si>
    <t>PKT-4867</t>
  </si>
  <si>
    <t>2026-06-07 18:42</t>
  </si>
  <si>
    <t>PKT-4857</t>
  </si>
  <si>
    <t>2026-06-07 21:09</t>
  </si>
  <si>
    <t>PKT-4873</t>
  </si>
  <si>
    <t>2026-06-08 08:29</t>
  </si>
  <si>
    <t>Password reset not working</t>
  </si>
  <si>
    <t>PKT-4868</t>
  </si>
  <si>
    <t>2026-06-08 08:46</t>
  </si>
  <si>
    <t>Refund never arrived</t>
  </si>
  <si>
    <t>PKT-4860</t>
  </si>
  <si>
    <t>2026-06-08 09:56</t>
  </si>
  <si>
    <t>PKT-4872</t>
  </si>
  <si>
    <t>2026-06-08 10:43</t>
  </si>
  <si>
    <t>Wrong item shipped</t>
  </si>
  <si>
    <t>PKT-4877</t>
  </si>
  <si>
    <t>2026-06-08 10:53</t>
  </si>
  <si>
    <t>PKT-4864</t>
  </si>
  <si>
    <t>2026-06-08 15:21</t>
  </si>
  <si>
    <t>PKT-4853</t>
  </si>
  <si>
    <t>2026-06-08 17:33</t>
  </si>
  <si>
    <t>PKT-4871</t>
  </si>
  <si>
    <t>2026-06-08 18:10</t>
  </si>
  <si>
    <t>PKT-4861</t>
  </si>
  <si>
    <t>2026-06-08 18:51</t>
  </si>
  <si>
    <t>Recordings not showing up in app</t>
  </si>
  <si>
    <t>PKT-4876</t>
  </si>
  <si>
    <t>2026-06-08 21:28</t>
  </si>
  <si>
    <t>PKT-4900</t>
  </si>
  <si>
    <t>2026-06-09 07:35</t>
  </si>
  <si>
    <t>Transcript cuts off partway</t>
  </si>
  <si>
    <t>PKT-4905</t>
  </si>
  <si>
    <t>2026-06-09 09:15</t>
  </si>
  <si>
    <t>PKT-4906</t>
  </si>
  <si>
    <t>2026-06-09 10:18</t>
  </si>
  <si>
    <t>Warranty claim for dead unit</t>
  </si>
  <si>
    <t>PKT-4890</t>
  </si>
  <si>
    <t>2026-06-09 13:23</t>
  </si>
  <si>
    <t>PKT-4903</t>
  </si>
  <si>
    <t>2026-06-09 15:48</t>
  </si>
  <si>
    <t>PKT-4887</t>
  </si>
  <si>
    <t>2026-06-09 16:01</t>
  </si>
  <si>
    <t>PKT-4902</t>
  </si>
  <si>
    <t>2026-06-09 16:40</t>
  </si>
  <si>
    <t>Charged after I cancelled</t>
  </si>
  <si>
    <t>PKT-4899</t>
  </si>
  <si>
    <t>2026-06-09 20:12</t>
  </si>
  <si>
    <t>PKT-4885</t>
  </si>
  <si>
    <t>2026-06-10 10:53</t>
  </si>
  <si>
    <t>PKT-4896</t>
  </si>
  <si>
    <t>2026-06-10 11:42</t>
  </si>
  <si>
    <t>PKT-4883</t>
  </si>
  <si>
    <t>2026-06-10 14:20</t>
  </si>
  <si>
    <t>PKT-4892</t>
  </si>
  <si>
    <t>2026-06-10 20:59</t>
  </si>
  <si>
    <t>PKT-4912</t>
  </si>
  <si>
    <t>2026-06-11 09:37</t>
  </si>
  <si>
    <t>How do I export notes</t>
  </si>
  <si>
    <t>PKT-4889</t>
  </si>
  <si>
    <t>2026-06-11 15:27</t>
  </si>
  <si>
    <t>PKT-4891</t>
  </si>
  <si>
    <t>2026-06-11 16:51</t>
  </si>
  <si>
    <t>Won't hold a charge</t>
  </si>
  <si>
    <t>PKT-4881</t>
  </si>
  <si>
    <t>2026-06-11 17:43</t>
  </si>
  <si>
    <t>Device dropped connection mid-meeting</t>
  </si>
  <si>
    <t>PKT-4884</t>
  </si>
  <si>
    <t>2026-06-12 07:47</t>
  </si>
  <si>
    <t>PKT-4904</t>
  </si>
  <si>
    <t>2026-06-12 11:36</t>
  </si>
  <si>
    <t>PKT-4901</t>
  </si>
  <si>
    <t>2026-06-12 14:28</t>
  </si>
  <si>
    <t>PKT-4886</t>
  </si>
  <si>
    <t>2026-06-12 18:16</t>
  </si>
  <si>
    <t>PKT-4910</t>
  </si>
  <si>
    <t>2026-06-12 18:20</t>
  </si>
  <si>
    <t>PKT-4893</t>
  </si>
  <si>
    <t>2026-06-12 20:20</t>
  </si>
  <si>
    <t>PKT-4880</t>
  </si>
  <si>
    <t>2026-06-13 18:47</t>
  </si>
  <si>
    <t>PKT-4882</t>
  </si>
  <si>
    <t>2026-06-14 07:05</t>
  </si>
  <si>
    <t>PKT-4888</t>
  </si>
  <si>
    <t>2026-06-14 10:06</t>
  </si>
  <si>
    <t>PKT-4909</t>
  </si>
  <si>
    <t>2026-06-14 11:44</t>
  </si>
  <si>
    <t>PKT-4897</t>
  </si>
  <si>
    <t>2026-06-14 14:17</t>
  </si>
  <si>
    <t>PKT-4895</t>
  </si>
  <si>
    <t>2026-06-14 14:41</t>
  </si>
  <si>
    <t>PKT-4907</t>
  </si>
  <si>
    <t>2026-06-14 16:42</t>
  </si>
  <si>
    <t>PKT-4894</t>
  </si>
  <si>
    <t>2026-06-14 21:17</t>
  </si>
  <si>
    <t>PKT-4908</t>
  </si>
  <si>
    <t>2026-06-15 09:04</t>
  </si>
  <si>
    <t>PKT-4911</t>
  </si>
  <si>
    <t>2026-06-15 17:52</t>
  </si>
  <si>
    <t>App crashes on open</t>
  </si>
  <si>
    <t>PKT-4898</t>
  </si>
  <si>
    <t>2026-06-15 18:11</t>
  </si>
  <si>
    <t>PKT-4917</t>
  </si>
  <si>
    <t>2026-06-16 15:26</t>
  </si>
  <si>
    <t>PKT-4942</t>
  </si>
  <si>
    <t>2026-06-16 17:52</t>
  </si>
  <si>
    <t>PKT-4945</t>
  </si>
  <si>
    <t>2026-06-17 14:28</t>
  </si>
  <si>
    <t>PKT-4930</t>
  </si>
  <si>
    <t>2026-06-17 14:58</t>
  </si>
  <si>
    <t>Only first few minutes transcribed</t>
  </si>
  <si>
    <t>PKT-4929</t>
  </si>
  <si>
    <t>2026-06-17 15:26</t>
  </si>
  <si>
    <t>PKT-4922</t>
  </si>
  <si>
    <t>2026-06-17 16:24</t>
  </si>
  <si>
    <t>PKT-4941</t>
  </si>
  <si>
    <t>2026-06-18 08:43</t>
  </si>
  <si>
    <t>PKT-4935</t>
  </si>
  <si>
    <t>2026-06-18 10:40</t>
  </si>
  <si>
    <t>PKT-4943</t>
  </si>
  <si>
    <t>2026-06-18 14:07</t>
  </si>
  <si>
    <t>PKT-4916</t>
  </si>
  <si>
    <t>2026-06-18 14:56</t>
  </si>
  <si>
    <t>PKT-4915</t>
  </si>
  <si>
    <t>2026-06-18 16:48</t>
  </si>
  <si>
    <t>PKT-4937</t>
  </si>
  <si>
    <t>2026-06-18 18:26</t>
  </si>
  <si>
    <t>PKT-4924</t>
  </si>
  <si>
    <t>2026-06-18 20:06</t>
  </si>
  <si>
    <t>PKT-4938</t>
  </si>
  <si>
    <t>2026-06-18 20:10</t>
  </si>
  <si>
    <t>PKT-4939</t>
  </si>
  <si>
    <t>2026-06-19 08:09</t>
  </si>
  <si>
    <t>PKT-4919</t>
  </si>
  <si>
    <t>2026-06-19 10:58</t>
  </si>
  <si>
    <t>PKT-4921</t>
  </si>
  <si>
    <t>2026-06-19 15:30</t>
  </si>
  <si>
    <t>PKT-4932</t>
  </si>
  <si>
    <t>2026-06-19 18:16</t>
  </si>
  <si>
    <t>PKT-4914</t>
  </si>
  <si>
    <t>2026-06-19 20:32</t>
  </si>
  <si>
    <t>PKT-4913</t>
  </si>
  <si>
    <t>2026-06-19 20:48</t>
  </si>
  <si>
    <t>PKT-4933</t>
  </si>
  <si>
    <t>2026-06-20 12:36</t>
  </si>
  <si>
    <t>PKT-4925</t>
  </si>
  <si>
    <t>2026-06-21 09:04</t>
  </si>
  <si>
    <t>PKT-4918</t>
  </si>
  <si>
    <t>2026-06-21 11:32</t>
  </si>
  <si>
    <t>PKT-4928</t>
  </si>
  <si>
    <t>2026-06-21 11:57</t>
  </si>
  <si>
    <t>PKT-4936</t>
  </si>
  <si>
    <t>2026-06-21 17:02</t>
  </si>
  <si>
    <t>PKT-4944</t>
  </si>
  <si>
    <t>2026-06-21 18:09</t>
  </si>
  <si>
    <t>PKT-4923</t>
  </si>
  <si>
    <t>2026-06-21 19:52</t>
  </si>
  <si>
    <t>PKT-4927</t>
  </si>
  <si>
    <t>2026-06-21 21:18</t>
  </si>
  <si>
    <t>PKT-4940</t>
  </si>
  <si>
    <t>2026-06-22 13:00</t>
  </si>
  <si>
    <t>PKT-4931</t>
  </si>
  <si>
    <t>2026-06-22 14:57</t>
  </si>
  <si>
    <t>PKT-4920</t>
  </si>
  <si>
    <t>2026-06-22 15:17</t>
  </si>
  <si>
    <t>PKT-4934</t>
  </si>
  <si>
    <t>2026-06-22 17:49</t>
  </si>
  <si>
    <t>PKT-4926</t>
  </si>
  <si>
    <t>2026-06-22 17:54</t>
  </si>
  <si>
    <t>PKT-4968</t>
  </si>
  <si>
    <t>2026-06-23 13:55</t>
  </si>
  <si>
    <t>PKT-4975</t>
  </si>
  <si>
    <t>2026-06-23 15:41</t>
  </si>
  <si>
    <t>PKT-4957</t>
  </si>
  <si>
    <t>2026-06-23 16:32</t>
  </si>
  <si>
    <t>PKT-4973</t>
  </si>
  <si>
    <t>2026-06-23 17:55</t>
  </si>
  <si>
    <t>PKT-4953</t>
  </si>
  <si>
    <t>2026-06-23 19:44</t>
  </si>
  <si>
    <t>PKT-4966</t>
  </si>
  <si>
    <t>2026-06-23 20:20</t>
  </si>
  <si>
    <t>Transcript is blank</t>
  </si>
  <si>
    <t>PKT-4948</t>
  </si>
  <si>
    <t>2026-06-24 08:42</t>
  </si>
  <si>
    <t>PKT-4984</t>
  </si>
  <si>
    <t>2026-06-24 12:43</t>
  </si>
  <si>
    <t>PKT-4980</t>
  </si>
  <si>
    <t>2026-06-24 12:49</t>
  </si>
  <si>
    <t>PKT-4983</t>
  </si>
  <si>
    <t>2026-06-24 14:39</t>
  </si>
  <si>
    <t>PKT-4964</t>
  </si>
  <si>
    <t>2026-06-24 19:08</t>
  </si>
  <si>
    <t>PKT-4970</t>
  </si>
  <si>
    <t>2026-06-24 19:48</t>
  </si>
  <si>
    <t>PKT-4985</t>
  </si>
  <si>
    <t>2026-06-24 20:12</t>
  </si>
  <si>
    <t>PKT-4982</t>
  </si>
  <si>
    <t>2026-06-24 20:44</t>
  </si>
  <si>
    <t>Locked out of my account</t>
  </si>
  <si>
    <t>PKT-4947</t>
  </si>
  <si>
    <t>2026-06-24 20:55</t>
  </si>
  <si>
    <t>PKT-4969</t>
  </si>
  <si>
    <t>2026-06-24 21:49</t>
  </si>
  <si>
    <t>PKT-4949</t>
  </si>
  <si>
    <t>2026-06-25 07:08</t>
  </si>
  <si>
    <t>PKT-4976</t>
  </si>
  <si>
    <t>2026-06-25 13:26</t>
  </si>
  <si>
    <t>PKT-4958</t>
  </si>
  <si>
    <t>2026-06-25 16:14</t>
  </si>
  <si>
    <t>PKT-4952</t>
  </si>
  <si>
    <t>2026-06-25 16:40</t>
  </si>
  <si>
    <t>PKT-4959</t>
  </si>
  <si>
    <t>2026-06-25 18:48</t>
  </si>
  <si>
    <t>PKT-4961</t>
  </si>
  <si>
    <t>2026-06-25 19:36</t>
  </si>
  <si>
    <t>PKT-4954</t>
  </si>
  <si>
    <t>2026-06-26 13:46</t>
  </si>
  <si>
    <t>PKT-4951</t>
  </si>
  <si>
    <t>2026-06-26 17:06</t>
  </si>
  <si>
    <t>PKT-4950</t>
  </si>
  <si>
    <t>2026-06-27 07:46</t>
  </si>
  <si>
    <t>PKT-4967</t>
  </si>
  <si>
    <t>2026-06-27 14:53</t>
  </si>
  <si>
    <t>PKT-4971</t>
  </si>
  <si>
    <t>2026-06-27 17:40</t>
  </si>
  <si>
    <t>PKT-4981</t>
  </si>
  <si>
    <t>2026-06-27 20:47</t>
  </si>
  <si>
    <t>PKT-4956</t>
  </si>
  <si>
    <t>2026-06-28 08:26</t>
  </si>
  <si>
    <t>PKT-4965</t>
  </si>
  <si>
    <t>2026-06-28 10:32</t>
  </si>
  <si>
    <t>PKT-4977</t>
  </si>
  <si>
    <t>2026-06-28 13:18</t>
  </si>
  <si>
    <t>PKT-4962</t>
  </si>
  <si>
    <t>2026-06-28 13:31</t>
  </si>
  <si>
    <t>PKT-4946</t>
  </si>
  <si>
    <t>2026-06-28 16:01</t>
  </si>
  <si>
    <t>PKT-4960</t>
  </si>
  <si>
    <t>2026-06-28 17:01</t>
  </si>
  <si>
    <t>PKT-4963</t>
  </si>
  <si>
    <t>2026-06-28 17:37</t>
  </si>
  <si>
    <t>PKT-4978</t>
  </si>
  <si>
    <t>2026-06-28 18:42</t>
  </si>
  <si>
    <t>PKT-4955</t>
  </si>
  <si>
    <t>2026-06-29 08:05</t>
  </si>
  <si>
    <t>PKT-4972</t>
  </si>
  <si>
    <t>2026-06-29 11:37</t>
  </si>
  <si>
    <t>PKT-4974</t>
  </si>
  <si>
    <t>2026-06-29 16:41</t>
  </si>
  <si>
    <t>PKT-4979</t>
  </si>
  <si>
    <t>2026-06-29 18:43</t>
  </si>
  <si>
    <t>PKT-4999</t>
  </si>
  <si>
    <t>2026-06-30 08:20</t>
  </si>
  <si>
    <t>PKT-5008</t>
  </si>
  <si>
    <t>2026-06-30 11:25</t>
  </si>
  <si>
    <t>PKT-5017</t>
  </si>
  <si>
    <t>2026-06-30 12:15</t>
  </si>
  <si>
    <t>PKT-4993</t>
  </si>
  <si>
    <t>2026-06-30 12:50</t>
  </si>
  <si>
    <t>PKT-5005</t>
  </si>
  <si>
    <t>2026-06-30 14:11</t>
  </si>
  <si>
    <t>PKT-4988</t>
  </si>
  <si>
    <t>2026-07-01 07:18</t>
  </si>
  <si>
    <t>PKT-5016</t>
  </si>
  <si>
    <t>2026-07-01 12:55</t>
  </si>
  <si>
    <t>PKT-5010</t>
  </si>
  <si>
    <t>2026-07-01 13:32</t>
  </si>
  <si>
    <t>PKT-4990</t>
  </si>
  <si>
    <t>2026-07-01 13:40</t>
  </si>
  <si>
    <t>PKT-5007</t>
  </si>
  <si>
    <t>2026-07-01 19:31</t>
  </si>
  <si>
    <t>PKT-5014</t>
  </si>
  <si>
    <t>2026-07-01 19:36</t>
  </si>
  <si>
    <t>PKT-4989</t>
  </si>
  <si>
    <t>2026-07-01 20:09</t>
  </si>
  <si>
    <t>PKT-4992</t>
  </si>
  <si>
    <t>2026-07-02 08:33</t>
  </si>
  <si>
    <t>PKT-4987</t>
  </si>
  <si>
    <t>2026-07-02 10:24</t>
  </si>
  <si>
    <t>PKT-5019</t>
  </si>
  <si>
    <t>2026-07-02 14:01</t>
  </si>
  <si>
    <t>PKT-5020</t>
  </si>
  <si>
    <t>2026-07-02 14:38</t>
  </si>
  <si>
    <t>PKT-5000</t>
  </si>
  <si>
    <t>2026-07-02 16:27</t>
  </si>
  <si>
    <t>PKT-5021</t>
  </si>
  <si>
    <t>2026-07-02 18:23</t>
  </si>
  <si>
    <t>PKT-5018</t>
  </si>
  <si>
    <t>2026-07-03 10:55</t>
  </si>
  <si>
    <t>PKT-5003</t>
  </si>
  <si>
    <t>2026-07-03 12:41</t>
  </si>
  <si>
    <t>PKT-5022</t>
  </si>
  <si>
    <t>2026-07-03 15:28</t>
  </si>
  <si>
    <t>PKT-5002</t>
  </si>
  <si>
    <t>2026-07-04 07:38</t>
  </si>
  <si>
    <t>PKT-4994</t>
  </si>
  <si>
    <t>2026-07-04 12:52</t>
  </si>
  <si>
    <t>PKT-5013</t>
  </si>
  <si>
    <t>2026-07-04 12:53</t>
  </si>
  <si>
    <t>PKT-5006</t>
  </si>
  <si>
    <t>2026-07-04 15:18</t>
  </si>
  <si>
    <t>PKT-5009</t>
  </si>
  <si>
    <t>2026-07-05 08:28</t>
  </si>
  <si>
    <t>PKT-5001</t>
  </si>
  <si>
    <t>2026-07-05 09:01</t>
  </si>
  <si>
    <t>PKT-4991</t>
  </si>
  <si>
    <t>2026-07-05 09:18</t>
  </si>
  <si>
    <t>PKT-5011</t>
  </si>
  <si>
    <t>2026-07-05 10:22</t>
  </si>
  <si>
    <t>PKT-5012</t>
  </si>
  <si>
    <t>2026-07-05 11:39</t>
  </si>
  <si>
    <t>PKT-5004</t>
  </si>
  <si>
    <t>2026-07-06 11:45</t>
  </si>
  <si>
    <t>PKT-4997</t>
  </si>
  <si>
    <t>2026-07-06 12:27</t>
  </si>
  <si>
    <t>PKT-4986</t>
  </si>
  <si>
    <t>2026-07-06 13:05</t>
  </si>
  <si>
    <t>PKT-4995</t>
  </si>
  <si>
    <t>2026-07-06 14:02</t>
  </si>
  <si>
    <t>PKT-4998</t>
  </si>
  <si>
    <t>2026-07-06 15:17</t>
  </si>
  <si>
    <t>PKT-4996</t>
  </si>
  <si>
    <t>2026-07-06 15:30</t>
  </si>
  <si>
    <t>PKT-5015</t>
  </si>
  <si>
    <t>2026-07-06 19:43</t>
  </si>
  <si>
    <t>PKT-5023</t>
  </si>
  <si>
    <t>2026-07-07 07:02</t>
  </si>
  <si>
    <t>PKT-5055</t>
  </si>
  <si>
    <t>2026-07-07 15:37</t>
  </si>
  <si>
    <t>PKT-5033</t>
  </si>
  <si>
    <t>2026-07-08 08:39</t>
  </si>
  <si>
    <t>PKT-5043</t>
  </si>
  <si>
    <t>2026-07-08 09:30</t>
  </si>
  <si>
    <t>PKT-5058</t>
  </si>
  <si>
    <t>2026-07-08 11:13</t>
  </si>
  <si>
    <t>PKT-5042</t>
  </si>
  <si>
    <t>2026-07-08 13:43</t>
  </si>
  <si>
    <t>PKT-5036</t>
  </si>
  <si>
    <t>2026-07-08 15:47</t>
  </si>
  <si>
    <t>PKT-5044</t>
  </si>
  <si>
    <t>2026-07-08 17:48</t>
  </si>
  <si>
    <t>PKT-5049</t>
  </si>
  <si>
    <t>2026-07-08 19:08</t>
  </si>
  <si>
    <t>Double charged this month</t>
  </si>
  <si>
    <t>PKT-5037</t>
  </si>
  <si>
    <t>2026-07-08 21:47</t>
  </si>
  <si>
    <t>PKT-5041</t>
  </si>
  <si>
    <t>2026-07-09 16:46</t>
  </si>
  <si>
    <t>PKT-5025</t>
  </si>
  <si>
    <t>2026-07-09 17:07</t>
  </si>
  <si>
    <t>PKT-5030</t>
  </si>
  <si>
    <t>2026-07-09 19:18</t>
  </si>
  <si>
    <t>PKT-5057</t>
  </si>
  <si>
    <t>2026-07-09 20:45</t>
  </si>
  <si>
    <t>PKT-5046</t>
  </si>
  <si>
    <t>2026-07-10 08:57</t>
  </si>
  <si>
    <t>PKT-5027</t>
  </si>
  <si>
    <t>2026-07-10 12:26</t>
  </si>
  <si>
    <t>PKT-5034</t>
  </si>
  <si>
    <t>2026-07-10 12:45</t>
  </si>
  <si>
    <t>PKT-5035</t>
  </si>
  <si>
    <t>2026-07-10 14:41</t>
  </si>
  <si>
    <t>PKT-5040</t>
  </si>
  <si>
    <t>2026-07-10 17:06</t>
  </si>
  <si>
    <t>PKT-5059</t>
  </si>
  <si>
    <t>2026-07-10 17:38</t>
  </si>
  <si>
    <t>PKT-5051</t>
  </si>
  <si>
    <t>2026-07-10 17:46</t>
  </si>
  <si>
    <t>PKT-5028</t>
  </si>
  <si>
    <t>2026-07-11 10:35</t>
  </si>
  <si>
    <t>PKT-5024</t>
  </si>
  <si>
    <t>2026-07-11 12:10</t>
  </si>
  <si>
    <t>PKT-5031</t>
  </si>
  <si>
    <t>2026-07-11 17:34</t>
  </si>
  <si>
    <t>Open</t>
  </si>
  <si>
    <t>PKT-5054</t>
  </si>
  <si>
    <t>2026-07-11 19:43</t>
  </si>
  <si>
    <t>PKT-5045</t>
  </si>
  <si>
    <t>2026-07-11 21:32</t>
  </si>
  <si>
    <t>PKT-5053</t>
  </si>
  <si>
    <t>2026-07-12 07:25</t>
  </si>
  <si>
    <t>PKT-5026</t>
  </si>
  <si>
    <t>2026-07-12 07:37</t>
  </si>
  <si>
    <t>PKT-5032</t>
  </si>
  <si>
    <t>2026-07-12 08:22</t>
  </si>
  <si>
    <t>PKT-5048</t>
  </si>
  <si>
    <t>2026-07-12 08:34</t>
  </si>
  <si>
    <t>Pending customer</t>
  </si>
  <si>
    <t>PKT-5039</t>
  </si>
  <si>
    <t>2026-07-12 09:00</t>
  </si>
  <si>
    <t>PKT-5056</t>
  </si>
  <si>
    <t>2026-07-12 13:50</t>
  </si>
  <si>
    <t>PKT-5038</t>
  </si>
  <si>
    <t>2026-07-12 15:33</t>
  </si>
  <si>
    <t>PKT-5029</t>
  </si>
  <si>
    <t>2026-07-12 17:51</t>
  </si>
  <si>
    <t>PKT-5050</t>
  </si>
  <si>
    <t>2026-07-12 17:55</t>
  </si>
  <si>
    <t>PKT-5052</t>
  </si>
  <si>
    <t>2026-07-12 19:07</t>
  </si>
  <si>
    <t>PKT-5047</t>
  </si>
  <si>
    <t>2026-07-12 19:19</t>
  </si>
  <si>
    <t>column</t>
  </si>
  <si>
    <t>description</t>
  </si>
  <si>
    <t>values</t>
  </si>
  <si>
    <t>Unique ticket identifier</t>
  </si>
  <si>
    <t>text</t>
  </si>
  <si>
    <t>When the ticket was opened (local time)</t>
  </si>
  <si>
    <t>datetime (YYYY-MM-DD HH:MM)</t>
  </si>
  <si>
    <t>How the customer reached us</t>
  </si>
  <si>
    <t>Email | Chat</t>
  </si>
  <si>
    <t>Support category assigned at triage</t>
  </si>
  <si>
    <t>8 categories (device, sync, transcription, billing, returns, account, other)</t>
  </si>
  <si>
    <t>Short summary of the customer's issue</t>
  </si>
  <si>
    <t>Pocket app version on the customer's phone</t>
  </si>
  <si>
    <t>3.1 | 3.2 (v3.2 began rolling out 2026-06-22)</t>
  </si>
  <si>
    <t>Phone operating system</t>
  </si>
  <si>
    <t>iOS | Android</t>
  </si>
  <si>
    <t>Hours from ticket open to our first reply</t>
  </si>
  <si>
    <t>number</t>
  </si>
  <si>
    <t>Hours from open to resolved (blank if not yet resolved)</t>
  </si>
  <si>
    <t>number | blank</t>
  </si>
  <si>
    <t>Customer satisfaction rating after resolution, 1 (worst) to 5 (best). Blank = not rated</t>
  </si>
  <si>
    <t>1-5 | blank</t>
  </si>
  <si>
    <t>Current ticket state</t>
  </si>
  <si>
    <t>Resolved | Open | Pending customer</t>
  </si>
  <si>
    <t>Pocket Customer Support Dashboard</t>
  </si>
  <si>
    <t>csat_rated</t>
  </si>
  <si>
    <t>csat_bucket</t>
  </si>
  <si>
    <t>Neutral</t>
  </si>
  <si>
    <t>Satisfied</t>
  </si>
  <si>
    <t>Not Rated</t>
  </si>
  <si>
    <t>Dissatisfied</t>
  </si>
  <si>
    <t>Count of ticket_id</t>
  </si>
  <si>
    <t>Row Labels</t>
  </si>
  <si>
    <t>Rated</t>
  </si>
  <si>
    <t>time_taken_to_resolve</t>
  </si>
  <si>
    <t>1 Day</t>
  </si>
  <si>
    <t>2 Days</t>
  </si>
  <si>
    <t>More than 2 days</t>
  </si>
  <si>
    <t>sla_first_response_met</t>
  </si>
  <si>
    <t>Failed to meet SLA</t>
  </si>
  <si>
    <t>SLA met</t>
  </si>
  <si>
    <t>month</t>
  </si>
  <si>
    <t>Month in which the ticket opened, extracted from created_date</t>
  </si>
  <si>
    <t>Customer satisfaction rating after resolution provided (Rated, includes values 1 to 5) or not (Not Rated)</t>
  </si>
  <si>
    <t>Indicates customer satisfaction level derived from csat value. Value 1/2 = Dissatisfied, Value 3 = Neutral, Value 4/5 = Satisfied and Blank = Not Rated</t>
  </si>
  <si>
    <t>Derived from resolution_hours column based on the condition that if resolution_hours &lt;= 24 then 1 day, if resolution_hours &gt; 48 them More than 2 days, else took 2 days</t>
  </si>
  <si>
    <t>Derived from first_response_hours column based on the condition that if first_response_hours &lt;=6 then SLA met otherwise Failed to meet SLA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</si>
</sst>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
    <numFmt numFmtId="165" formatCode="0.0"/>
    <numFmt numFmtId="166" formatCode="yyyy/mm/dd"/>
  </numFmts>
  <fonts count="7" x14ac:knownFonts="1">
    <font>
      <sz val="11"/>
      <color theme="1"/>
      <name val="Calibri"/>
      <scheme val="minor"/>
    </font>
    <font>
      <sz val="11"/>
      <color theme="1"/>
      <name val="Calibri"/>
      <family val="2"/>
      <scheme val="minor"/>
    </font>
    <font>
      <b/>
      <sz val="11"/>
      <color rgb="FFFFFFFF"/>
      <name val="Arial"/>
    </font>
    <font>
      <sz val="10"/>
      <color theme="1"/>
      <name val="Arial"/>
    </font>
    <font>
      <b/>
      <sz val="11"/>
      <color rgb="FFFFFFFF"/>
      <name val="Arial"/>
      <family val="2"/>
    </font>
    <font>
      <sz val="10"/>
      <color theme="1"/>
      <name val="Arial"/>
      <family val="2"/>
    </font>
    <font>
      <sz val="18"/>
      <color rgb="FFFFFFFF"/>
      <name val="Calibri"/>
      <family val="2"/>
      <scheme val="minor"/>
    </font>
  </fonts>
  <fills count="5">
    <fill>
      <patternFill patternType="none"/>
    </fill>
    <fill>
      <patternFill patternType="gray125"/>
    </fill>
    <fill>
      <patternFill patternType="solid">
        <fgColor rgb="FF1F2A44"/>
        <bgColor rgb="FF1F2A44"/>
      </patternFill>
    </fill>
    <fill>
      <patternFill patternType="solid">
        <fgColor theme="2" tint="-4.9989318521683403E-2"/>
        <bgColor indexed="64"/>
      </patternFill>
    </fill>
    <fill>
      <patternFill patternType="solid">
        <fgColor theme="4"/>
        <bgColor indexed="64"/>
      </patternFill>
    </fill>
  </fills>
  <borders count="3">
    <border>
      <left/>
      <right/>
      <top/>
      <bottom/>
      <diagonal/>
    </border>
    <border>
      <left/>
      <right/>
      <top/>
      <bottom/>
      <diagonal/>
    </border>
    <border>
      <left style="medium">
        <color indexed="64"/>
      </left>
      <right/>
      <top/>
      <bottom/>
      <diagonal/>
    </border>
  </borders>
  <cellStyleXfs count="1">
    <xf numFmtId="0" fontId="0" fillId="0" borderId="0"/>
  </cellStyleXfs>
  <cellXfs count="25">
    <xf numFmtId="0" fontId="0" fillId="0" borderId="0" xfId="0"/>
    <xf numFmtId="0" fontId="2" fillId="2" borderId="1" xfId="0" applyFont="1" applyFill="1" applyBorder="1" applyAlignment="1">
      <alignment vertical="center"/>
    </xf>
    <xf numFmtId="0" fontId="3" fillId="0" borderId="0" xfId="0" applyFont="1"/>
    <xf numFmtId="164" fontId="2" fillId="2" borderId="1" xfId="0" applyNumberFormat="1" applyFont="1" applyFill="1" applyBorder="1" applyAlignment="1">
      <alignment vertical="center"/>
    </xf>
    <xf numFmtId="164" fontId="3" fillId="0" borderId="0" xfId="0" applyNumberFormat="1" applyFont="1"/>
    <xf numFmtId="164" fontId="0" fillId="0" borderId="0" xfId="0" applyNumberFormat="1"/>
    <xf numFmtId="2" fontId="2" fillId="2" borderId="1" xfId="0" applyNumberFormat="1" applyFont="1" applyFill="1" applyBorder="1" applyAlignment="1">
      <alignment vertical="center"/>
    </xf>
    <xf numFmtId="2" fontId="0" fillId="0" borderId="0" xfId="0" applyNumberFormat="1"/>
    <xf numFmtId="165" fontId="2" fillId="2" borderId="1" xfId="0" applyNumberFormat="1" applyFont="1" applyFill="1" applyBorder="1" applyAlignment="1">
      <alignment vertical="center"/>
    </xf>
    <xf numFmtId="165" fontId="3" fillId="0" borderId="0" xfId="0" applyNumberFormat="1" applyFont="1"/>
    <xf numFmtId="165" fontId="0" fillId="0" borderId="0" xfId="0" applyNumberFormat="1"/>
    <xf numFmtId="0" fontId="0" fillId="3" borderId="1" xfId="0" applyFill="1" applyBorder="1"/>
    <xf numFmtId="0" fontId="5" fillId="0" borderId="0" xfId="0" applyFont="1"/>
    <xf numFmtId="0" fontId="4" fillId="2" borderId="0" xfId="0" applyFont="1" applyFill="1" applyAlignment="1">
      <alignment vertical="center"/>
    </xf>
    <xf numFmtId="166" fontId="4" fillId="2" borderId="0" xfId="0" applyNumberFormat="1" applyFont="1" applyFill="1" applyAlignment="1">
      <alignment vertical="center"/>
    </xf>
    <xf numFmtId="166" fontId="0" fillId="0" borderId="0" xfId="0" applyNumberFormat="1"/>
    <xf numFmtId="0" fontId="0" fillId="0" borderId="0" xfId="0" pivotButton="1"/>
    <xf numFmtId="0" fontId="0" fillId="0" borderId="0" xfId="0" applyAlignment="1">
      <alignment horizontal="left"/>
    </xf>
    <xf numFmtId="0" fontId="2" fillId="2" borderId="0" xfId="0" applyFont="1" applyFill="1" applyAlignment="1">
      <alignment vertical="center"/>
    </xf>
    <xf numFmtId="0" fontId="1" fillId="0" borderId="0" xfId="0" applyFont="1"/>
    <xf numFmtId="0" fontId="3" fillId="0" borderId="0" xfId="0" applyFont="1" applyAlignment="1">
      <alignment wrapText="1"/>
    </xf>
    <xf numFmtId="0" fontId="0" fillId="0" borderId="0" xfId="0" applyAlignment="1">
      <alignment wrapText="1"/>
    </xf>
    <xf numFmtId="0" fontId="6" fillId="4" borderId="2" xfId="0" applyFont="1" applyFill="1" applyBorder="1" applyAlignment="1">
      <alignment horizontal="center"/>
    </xf>
    <xf numFmtId="0" fontId="6" fillId="4" borderId="1" xfId="0" applyFont="1" applyFill="1" applyBorder="1" applyAlignment="1">
      <alignment horizontal="center"/>
    </xf>
    <xf numFmtId="0" fontId="0" fillId="0" borderId="0" xfId="0" applyNumberFormat="1"/>
  </cellXfs>
  <cellStyles count="1">
    <cellStyle name="Normal" xfId="0" builtinId="0"/>
  </cellStyles>
  <dxfs count="18">
    <dxf>
      <font>
        <b val="0"/>
        <i val="0"/>
        <strike val="0"/>
        <condense val="0"/>
        <extend val="0"/>
        <outline val="0"/>
        <shadow val="0"/>
        <u val="none"/>
        <vertAlign val="baseline"/>
        <sz val="10"/>
        <color theme="1"/>
        <name val="Arial"/>
        <scheme val="none"/>
      </font>
      <numFmt numFmtId="0" formatCode="General"/>
    </dxf>
    <dxf>
      <font>
        <b val="0"/>
        <i val="0"/>
        <strike val="0"/>
        <condense val="0"/>
        <extend val="0"/>
        <outline val="0"/>
        <shadow val="0"/>
        <u val="none"/>
        <vertAlign val="baseline"/>
        <sz val="10"/>
        <color theme="1"/>
        <name val="Arial"/>
        <scheme val="none"/>
      </font>
      <numFmt numFmtId="0" formatCode="General"/>
    </dxf>
    <dxf>
      <font>
        <b val="0"/>
        <i val="0"/>
        <strike val="0"/>
        <condense val="0"/>
        <extend val="0"/>
        <outline val="0"/>
        <shadow val="0"/>
        <u val="none"/>
        <vertAlign val="baseline"/>
        <sz val="10"/>
        <color theme="1"/>
        <name val="Arial"/>
        <scheme val="none"/>
      </font>
      <numFmt numFmtId="0" formatCode="General"/>
    </dxf>
    <dxf>
      <font>
        <b val="0"/>
        <i val="0"/>
        <strike val="0"/>
        <condense val="0"/>
        <extend val="0"/>
        <outline val="0"/>
        <shadow val="0"/>
        <u val="none"/>
        <vertAlign val="baseline"/>
        <sz val="10"/>
        <color theme="1"/>
        <name val="Arial"/>
        <family val="2"/>
        <scheme val="none"/>
      </font>
      <numFmt numFmtId="0" formatCode="General"/>
    </dxf>
    <dxf>
      <font>
        <b val="0"/>
        <i val="0"/>
        <strike val="0"/>
        <condense val="0"/>
        <extend val="0"/>
        <outline val="0"/>
        <shadow val="0"/>
        <u val="none"/>
        <vertAlign val="baseline"/>
        <sz val="10"/>
        <color theme="1"/>
        <name val="Arial"/>
        <scheme val="none"/>
      </font>
      <numFmt numFmtId="166" formatCode="yyyy/mm/dd"/>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0"/>
        <color theme="1"/>
        <name val="Arial"/>
        <scheme val="none"/>
      </font>
      <numFmt numFmtId="165" formatCode="0.0"/>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numFmt numFmtId="0" formatCode="General"/>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numFmt numFmtId="164" formatCode="yyyy/mm/dd\ hh:mm"/>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dxf>
    <dxf>
      <font>
        <b/>
        <i val="0"/>
        <strike val="0"/>
        <condense val="0"/>
        <extend val="0"/>
        <outline val="0"/>
        <shadow val="0"/>
        <u val="none"/>
        <vertAlign val="baseline"/>
        <sz val="11"/>
        <color rgb="FFFFFFFF"/>
        <name val="Arial"/>
        <scheme val="none"/>
      </font>
      <fill>
        <patternFill patternType="solid">
          <fgColor rgb="FF1F2A44"/>
          <bgColor rgb="FF1F2A44"/>
        </patternFill>
      </fill>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 Thakor_ Customer Support Specialist _ Case Study Dashboard.xlsx]1. Total Tickets by Category!Tickets by Category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Tickets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 Total Tickets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Total Tickets by Category'!$A$4:$A$11</c:f>
              <c:strCache>
                <c:ptCount val="8"/>
                <c:pt idx="0">
                  <c:v>Account / login</c:v>
                </c:pt>
                <c:pt idx="1">
                  <c:v>Billing</c:v>
                </c:pt>
                <c:pt idx="2">
                  <c:v>Device - battery</c:v>
                </c:pt>
                <c:pt idx="3">
                  <c:v>Device - pairing</c:v>
                </c:pt>
                <c:pt idx="4">
                  <c:v>Other</c:v>
                </c:pt>
                <c:pt idx="5">
                  <c:v>Returns / warranty</c:v>
                </c:pt>
                <c:pt idx="6">
                  <c:v>Sync</c:v>
                </c:pt>
                <c:pt idx="7">
                  <c:v>Transcription</c:v>
                </c:pt>
              </c:strCache>
            </c:strRef>
          </c:cat>
          <c:val>
            <c:numRef>
              <c:f>'1. Total Tickets by Category'!$B$4:$B$11</c:f>
              <c:numCache>
                <c:formatCode>General</c:formatCode>
                <c:ptCount val="8"/>
                <c:pt idx="0">
                  <c:v>23</c:v>
                </c:pt>
                <c:pt idx="1">
                  <c:v>21</c:v>
                </c:pt>
                <c:pt idx="2">
                  <c:v>39</c:v>
                </c:pt>
                <c:pt idx="3">
                  <c:v>51</c:v>
                </c:pt>
                <c:pt idx="4">
                  <c:v>16</c:v>
                </c:pt>
                <c:pt idx="5">
                  <c:v>21</c:v>
                </c:pt>
                <c:pt idx="6">
                  <c:v>29</c:v>
                </c:pt>
                <c:pt idx="7">
                  <c:v>39</c:v>
                </c:pt>
              </c:numCache>
            </c:numRef>
          </c:val>
          <c:extLst>
            <c:ext xmlns:c16="http://schemas.microsoft.com/office/drawing/2014/chart" uri="{C3380CC4-5D6E-409C-BE32-E72D297353CC}">
              <c16:uniqueId val="{00000000-72F2-4BAD-BEF7-04E18F1CB196}"/>
            </c:ext>
          </c:extLst>
        </c:ser>
        <c:dLbls>
          <c:dLblPos val="outEnd"/>
          <c:showLegendKey val="0"/>
          <c:showVal val="1"/>
          <c:showCatName val="0"/>
          <c:showSerName val="0"/>
          <c:showPercent val="0"/>
          <c:showBubbleSize val="0"/>
        </c:dLbls>
        <c:gapWidth val="182"/>
        <c:axId val="1553190448"/>
        <c:axId val="1553201968"/>
      </c:barChart>
      <c:catAx>
        <c:axId val="15531904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Ticket 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201968"/>
        <c:crosses val="autoZero"/>
        <c:auto val="1"/>
        <c:lblAlgn val="ctr"/>
        <c:lblOffset val="100"/>
        <c:noMultiLvlLbl val="0"/>
      </c:catAx>
      <c:valAx>
        <c:axId val="1553201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 of Tickets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190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 Thakor_ Customer Support Specialist _ Case Study Dashboard.xlsx]2. Tickets by Channel!Ticket by Channel</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Tickets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0.15573556430446195"/>
              <c:y val="8.17938903470399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dLbl>
          <c:idx val="0"/>
          <c:layout>
            <c:manualLayout>
              <c:x val="-0.13145483377077866"/>
              <c:y val="-5.92002041411490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dLbl>
          <c:idx val="0"/>
          <c:layout>
            <c:manualLayout>
              <c:x val="-0.13145483377077866"/>
              <c:y val="-5.92002041411490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dLbl>
          <c:idx val="0"/>
          <c:layout>
            <c:manualLayout>
              <c:x val="0.15573556430446195"/>
              <c:y val="8.17938903470399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0.26163226638090364"/>
              <c:y val="-6.8459463400408288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fld id="{3CE7510F-1599-4B81-BE81-84C60C668E8F}" type="CATEGORYNAME">
                  <a:rPr lang="en-US" sz="1100"/>
                  <a:pPr>
                    <a:defRPr sz="1100">
                      <a:solidFill>
                        <a:schemeClr val="bg1"/>
                      </a:solidFill>
                    </a:defRPr>
                  </a:pPr>
                  <a:t>[CATEGORY NAME]</a:t>
                </a:fld>
                <a:endParaRPr lang="en-US" sz="1100" baseline="0"/>
              </a:p>
              <a:p>
                <a:pPr>
                  <a:defRPr sz="1100">
                    <a:solidFill>
                      <a:schemeClr val="bg1"/>
                    </a:solidFill>
                  </a:defRPr>
                </a:pPr>
                <a:r>
                  <a:rPr lang="en-US" sz="1100" baseline="0"/>
                  <a:t> </a:t>
                </a:r>
                <a:fld id="{2F633D5E-8026-4390-8FBD-0B72F08A1091}" type="VALUE">
                  <a:rPr lang="en-US" sz="1100" baseline="0"/>
                  <a:pPr>
                    <a:defRPr sz="1100">
                      <a:solidFill>
                        <a:schemeClr val="bg1"/>
                      </a:solidFill>
                    </a:defRPr>
                  </a:pPr>
                  <a:t>[VALUE]</a:t>
                </a:fld>
                <a:r>
                  <a:rPr lang="en-US" sz="1100" baseline="0"/>
                  <a:t>, </a:t>
                </a:r>
                <a:fld id="{01500BF5-5FFF-47D2-B1CC-6A10D58E8DD1}" type="PERCENTAGE">
                  <a:rPr lang="en-US" sz="1100" baseline="0"/>
                  <a:pPr>
                    <a:defRPr sz="1100">
                      <a:solidFill>
                        <a:schemeClr val="bg1"/>
                      </a:solidFill>
                    </a:defRPr>
                  </a:pPr>
                  <a:t>[PERCENTAGE]</a:t>
                </a:fld>
                <a:endParaRPr lang="en-US" sz="1100"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6"/>
          </a:solidFill>
          <a:ln w="19050">
            <a:solidFill>
              <a:schemeClr val="lt1"/>
            </a:solidFill>
          </a:ln>
          <a:effectLst/>
        </c:spPr>
        <c:dLbl>
          <c:idx val="0"/>
          <c:layout>
            <c:manualLayout>
              <c:x val="0.25435493640218054"/>
              <c:y val="3.5497594050743569E-2"/>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fld id="{723ADCCE-0147-471D-9237-E70B2BAF7689}" type="CATEGORYNAME">
                  <a:rPr lang="en-US" sz="1200"/>
                  <a:pPr>
                    <a:defRPr sz="1200">
                      <a:solidFill>
                        <a:schemeClr val="bg1"/>
                      </a:solidFill>
                    </a:defRPr>
                  </a:pPr>
                  <a:t>[CATEGORY NAME]</a:t>
                </a:fld>
                <a:r>
                  <a:rPr lang="en-US" sz="1200" baseline="0"/>
                  <a:t> </a:t>
                </a:r>
                <a:fld id="{D2DBD42D-6EFE-41DE-9B40-A6508B3D1213}" type="VALUE">
                  <a:rPr lang="en-US" sz="1200" baseline="0"/>
                  <a:pPr>
                    <a:defRPr sz="1200">
                      <a:solidFill>
                        <a:schemeClr val="bg1"/>
                      </a:solidFill>
                    </a:defRPr>
                  </a:pPr>
                  <a:t>[VALUE]</a:t>
                </a:fld>
                <a:r>
                  <a:rPr lang="en-US" sz="1200" baseline="0"/>
                  <a:t>, </a:t>
                </a:r>
                <a:fld id="{12A45B47-1685-4E7F-AB4A-BAAEC7ECB89B}" type="PERCENTAGE">
                  <a:rPr lang="en-US" sz="1200" baseline="0"/>
                  <a:pPr>
                    <a:defRPr sz="1200">
                      <a:solidFill>
                        <a:schemeClr val="bg1"/>
                      </a:solidFill>
                    </a:defRPr>
                  </a:pPr>
                  <a:t>[PERCENTAGE]</a:t>
                </a:fld>
                <a:endParaRPr lang="en-US" sz="1200" baseline="0"/>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'2. Tickets by Channel'!$B$3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0EB3-42F6-B68E-4E795CCBEED5}"/>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0EB3-42F6-B68E-4E795CCBEED5}"/>
              </c:ext>
            </c:extLst>
          </c:dPt>
          <c:dLbls>
            <c:dLbl>
              <c:idx val="0"/>
              <c:layout>
                <c:manualLayout>
                  <c:x val="-0.26163226638090364"/>
                  <c:y val="-6.8459463400408288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fld id="{3CE7510F-1599-4B81-BE81-84C60C668E8F}" type="CATEGORYNAME">
                      <a:rPr lang="en-US" sz="1100"/>
                      <a:pPr>
                        <a:defRPr sz="1100">
                          <a:solidFill>
                            <a:schemeClr val="bg1"/>
                          </a:solidFill>
                        </a:defRPr>
                      </a:pPr>
                      <a:t>[CATEGORY NAME]</a:t>
                    </a:fld>
                    <a:endParaRPr lang="en-US" sz="1100" baseline="0"/>
                  </a:p>
                  <a:p>
                    <a:pPr>
                      <a:defRPr sz="1100">
                        <a:solidFill>
                          <a:schemeClr val="bg1"/>
                        </a:solidFill>
                      </a:defRPr>
                    </a:pPr>
                    <a:r>
                      <a:rPr lang="en-US" sz="1100" baseline="0"/>
                      <a:t> </a:t>
                    </a:r>
                    <a:fld id="{2F633D5E-8026-4390-8FBD-0B72F08A1091}" type="VALUE">
                      <a:rPr lang="en-US" sz="1100" baseline="0"/>
                      <a:pPr>
                        <a:defRPr sz="1100">
                          <a:solidFill>
                            <a:schemeClr val="bg1"/>
                          </a:solidFill>
                        </a:defRPr>
                      </a:pPr>
                      <a:t>[VALUE]</a:t>
                    </a:fld>
                    <a:r>
                      <a:rPr lang="en-US" sz="1100" baseline="0"/>
                      <a:t>, </a:t>
                    </a:r>
                    <a:fld id="{01500BF5-5FFF-47D2-B1CC-6A10D58E8DD1}" type="PERCENTAGE">
                      <a:rPr lang="en-US" sz="1100" baseline="0"/>
                      <a:pPr>
                        <a:defRPr sz="1100">
                          <a:solidFill>
                            <a:schemeClr val="bg1"/>
                          </a:solidFill>
                        </a:defRPr>
                      </a:pPr>
                      <a:t>[PERCENTAGE]</a:t>
                    </a:fld>
                    <a:endParaRPr lang="en-US" sz="1100"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EB3-42F6-B68E-4E795CCBEED5}"/>
                </c:ext>
              </c:extLst>
            </c:dLbl>
            <c:dLbl>
              <c:idx val="1"/>
              <c:layout>
                <c:manualLayout>
                  <c:x val="0.25435493640218054"/>
                  <c:y val="3.5497594050743569E-2"/>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fld id="{723ADCCE-0147-471D-9237-E70B2BAF7689}" type="CATEGORYNAME">
                      <a:rPr lang="en-US" sz="1200"/>
                      <a:pPr>
                        <a:defRPr sz="1200">
                          <a:solidFill>
                            <a:schemeClr val="bg1"/>
                          </a:solidFill>
                        </a:defRPr>
                      </a:pPr>
                      <a:t>[CATEGORY NAME]</a:t>
                    </a:fld>
                    <a:r>
                      <a:rPr lang="en-US" sz="1200" baseline="0"/>
                      <a:t> </a:t>
                    </a:r>
                    <a:fld id="{D2DBD42D-6EFE-41DE-9B40-A6508B3D1213}" type="VALUE">
                      <a:rPr lang="en-US" sz="1200" baseline="0"/>
                      <a:pPr>
                        <a:defRPr sz="1200">
                          <a:solidFill>
                            <a:schemeClr val="bg1"/>
                          </a:solidFill>
                        </a:defRPr>
                      </a:pPr>
                      <a:t>[VALUE]</a:t>
                    </a:fld>
                    <a:r>
                      <a:rPr lang="en-US" sz="1200" baseline="0"/>
                      <a:t>, </a:t>
                    </a:r>
                    <a:fld id="{12A45B47-1685-4E7F-AB4A-BAAEC7ECB89B}" type="PERCENTAGE">
                      <a:rPr lang="en-US" sz="1200" baseline="0"/>
                      <a:pPr>
                        <a:defRPr sz="1200">
                          <a:solidFill>
                            <a:schemeClr val="bg1"/>
                          </a:solidFill>
                        </a:defRPr>
                      </a:pPr>
                      <a:t>[PERCENTAGE]</a:t>
                    </a:fld>
                    <a:endParaRPr lang="en-US" sz="1200" baseline="0"/>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EB3-42F6-B68E-4E795CCBEE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howLeaderLines val="0"/>
            <c:extLst>
              <c:ext xmlns:c15="http://schemas.microsoft.com/office/drawing/2012/chart" uri="{CE6537A1-D6FC-4f65-9D91-7224C49458BB}"/>
            </c:extLst>
          </c:dLbls>
          <c:cat>
            <c:strRef>
              <c:f>'2. Tickets by Channel'!$A$4:$A$5</c:f>
              <c:strCache>
                <c:ptCount val="2"/>
                <c:pt idx="0">
                  <c:v>Chat</c:v>
                </c:pt>
                <c:pt idx="1">
                  <c:v>Email</c:v>
                </c:pt>
              </c:strCache>
            </c:strRef>
          </c:cat>
          <c:val>
            <c:numRef>
              <c:f>'2. Tickets by Channel'!$B$4:$B$5</c:f>
              <c:numCache>
                <c:formatCode>General</c:formatCode>
                <c:ptCount val="2"/>
                <c:pt idx="0">
                  <c:v>116</c:v>
                </c:pt>
                <c:pt idx="1">
                  <c:v>123</c:v>
                </c:pt>
              </c:numCache>
            </c:numRef>
          </c:val>
          <c:extLst>
            <c:ext xmlns:c16="http://schemas.microsoft.com/office/drawing/2014/chart" uri="{C3380CC4-5D6E-409C-BE32-E72D297353CC}">
              <c16:uniqueId val="{00000004-0EB3-42F6-B68E-4E795CCBEED5}"/>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 Thakor_ Customer Support Specialist _ Case Study Dashboard.xlsx]3. Tickets by App Version!PivotTable7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Tickets by App Version</a:t>
            </a:r>
          </a:p>
        </c:rich>
      </c:tx>
      <c:layout>
        <c:manualLayout>
          <c:xMode val="edge"/>
          <c:yMode val="edge"/>
          <c:x val="0.24015804145968267"/>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26493783246293395"/>
              <c:y val="-5.578849518810148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Version</a:t>
                </a:r>
                <a:r>
                  <a:rPr lang="en-US" baseline="0"/>
                  <a:t> </a:t>
                </a:r>
                <a:fld id="{DE34837C-5143-4E2A-B9C4-5BB5D5342129}" type="CATEGORYNAME">
                  <a:rPr lang="en-US"/>
                  <a:pPr>
                    <a:defRPr sz="900" b="0" i="0" u="none" strike="noStrike" kern="1200" baseline="0">
                      <a:solidFill>
                        <a:schemeClr val="bg1"/>
                      </a:solidFill>
                      <a:latin typeface="+mn-lt"/>
                      <a:ea typeface="+mn-ea"/>
                      <a:cs typeface="+mn-cs"/>
                    </a:defRPr>
                  </a:pPr>
                  <a:t>[CATEGORY NAME]</a:t>
                </a:fld>
                <a:endParaRPr lang="en-US" baseline="0"/>
              </a:p>
              <a:p>
                <a:pPr>
                  <a:defRPr sz="900" b="0" i="0" u="none" strike="noStrike" kern="1200" baseline="0">
                    <a:solidFill>
                      <a:schemeClr val="bg1"/>
                    </a:solidFill>
                    <a:latin typeface="+mn-lt"/>
                    <a:ea typeface="+mn-ea"/>
                    <a:cs typeface="+mn-cs"/>
                  </a:defRPr>
                </a:pPr>
                <a:r>
                  <a:rPr lang="en-US" baseline="0"/>
                  <a:t> </a:t>
                </a:r>
                <a:fld id="{4D60F540-21DF-4E3E-A035-D3E599C7DCEA}" type="VALUE">
                  <a:rPr lang="en-US" baseline="0"/>
                  <a:pPr>
                    <a:defRPr sz="900" b="0" i="0" u="none" strike="noStrike" kern="1200" baseline="0">
                      <a:solidFill>
                        <a:schemeClr val="bg1"/>
                      </a:solidFill>
                      <a:latin typeface="+mn-lt"/>
                      <a:ea typeface="+mn-ea"/>
                      <a:cs typeface="+mn-cs"/>
                    </a:defRPr>
                  </a:pPr>
                  <a:t>[VALUE]</a:t>
                </a:fld>
                <a:r>
                  <a:rPr lang="en-US" baseline="0"/>
                  <a:t>, </a:t>
                </a:r>
                <a:fld id="{9D3ABC85-DE5F-4A11-A3DF-E99E4C633F7E}" type="PERCENTAGE">
                  <a:rPr lang="en-US" baseline="0"/>
                  <a:pPr>
                    <a:defRPr sz="900" b="0" i="0" u="none" strike="noStrike" kern="1200" baseline="0">
                      <a:solidFill>
                        <a:schemeClr val="bg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0.27260618603372738"/>
              <c:y val="5.639144065325167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solidFill>
                      <a:schemeClr val="bg1"/>
                    </a:solidFill>
                  </a:rPr>
                  <a:t>Version 3.1</a:t>
                </a:r>
                <a:endParaRPr lang="en-US" baseline="0">
                  <a:solidFill>
                    <a:schemeClr val="bg1"/>
                  </a:solidFill>
                </a:endParaRPr>
              </a:p>
              <a:p>
                <a:pPr>
                  <a:defRPr sz="900" b="0" i="0" u="none" strike="noStrike" kern="1200" baseline="0">
                    <a:solidFill>
                      <a:schemeClr val="bg1"/>
                    </a:solidFill>
                    <a:latin typeface="+mn-lt"/>
                    <a:ea typeface="+mn-ea"/>
                    <a:cs typeface="+mn-cs"/>
                  </a:defRPr>
                </a:pPr>
                <a:r>
                  <a:rPr lang="en-US" baseline="0">
                    <a:solidFill>
                      <a:schemeClr val="bg1"/>
                    </a:solidFill>
                  </a:rPr>
                  <a:t> </a:t>
                </a:r>
                <a:fld id="{C570321A-776B-406F-B6D0-55A7F1234D41}" type="VALUE">
                  <a:rPr lang="en-US" baseline="0">
                    <a:solidFill>
                      <a:schemeClr val="bg1"/>
                    </a:solidFill>
                  </a:rPr>
                  <a:pPr>
                    <a:defRPr sz="900" b="0" i="0" u="none" strike="noStrike" kern="1200" baseline="0">
                      <a:solidFill>
                        <a:schemeClr val="bg1"/>
                      </a:solidFill>
                      <a:latin typeface="+mn-lt"/>
                      <a:ea typeface="+mn-ea"/>
                      <a:cs typeface="+mn-cs"/>
                    </a:defRPr>
                  </a:pPr>
                  <a:t>[VALUE]</a:t>
                </a:fld>
                <a:r>
                  <a:rPr lang="en-US" baseline="0">
                    <a:solidFill>
                      <a:schemeClr val="bg1"/>
                    </a:solidFill>
                  </a:rPr>
                  <a:t>, </a:t>
                </a:r>
                <a:fld id="{314C97A6-03D9-436F-9C27-A763E7EBE58D}" type="PERCENTAGE">
                  <a:rPr lang="en-US" baseline="0">
                    <a:solidFill>
                      <a:schemeClr val="bg1"/>
                    </a:solidFill>
                  </a:rPr>
                  <a:pPr>
                    <a:defRPr sz="900" b="0" i="0" u="none" strike="noStrike" kern="1200" baseline="0">
                      <a:solidFill>
                        <a:schemeClr val="bg1"/>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27260618603372738"/>
              <c:y val="5.639144065325167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solidFill>
                      <a:schemeClr val="bg1"/>
                    </a:solidFill>
                  </a:rPr>
                  <a:t>Version 3.1</a:t>
                </a:r>
                <a:endParaRPr lang="en-US" baseline="0">
                  <a:solidFill>
                    <a:schemeClr val="bg1"/>
                  </a:solidFill>
                </a:endParaRPr>
              </a:p>
              <a:p>
                <a:pPr>
                  <a:defRPr sz="900" b="0" i="0" u="none" strike="noStrike" kern="1200" baseline="0">
                    <a:solidFill>
                      <a:schemeClr val="bg1"/>
                    </a:solidFill>
                    <a:latin typeface="+mn-lt"/>
                    <a:ea typeface="+mn-ea"/>
                    <a:cs typeface="+mn-cs"/>
                  </a:defRPr>
                </a:pPr>
                <a:r>
                  <a:rPr lang="en-US" baseline="0">
                    <a:solidFill>
                      <a:schemeClr val="bg1"/>
                    </a:solidFill>
                  </a:rPr>
                  <a:t> </a:t>
                </a:r>
                <a:fld id="{C570321A-776B-406F-B6D0-55A7F1234D41}" type="VALUE">
                  <a:rPr lang="en-US" baseline="0">
                    <a:solidFill>
                      <a:schemeClr val="bg1"/>
                    </a:solidFill>
                  </a:rPr>
                  <a:pPr>
                    <a:defRPr sz="900" b="0" i="0" u="none" strike="noStrike" kern="1200" baseline="0">
                      <a:solidFill>
                        <a:schemeClr val="bg1"/>
                      </a:solidFill>
                      <a:latin typeface="+mn-lt"/>
                      <a:ea typeface="+mn-ea"/>
                      <a:cs typeface="+mn-cs"/>
                    </a:defRPr>
                  </a:pPr>
                  <a:t>[VALUE]</a:t>
                </a:fld>
                <a:r>
                  <a:rPr lang="en-US" baseline="0">
                    <a:solidFill>
                      <a:schemeClr val="bg1"/>
                    </a:solidFill>
                  </a:rPr>
                  <a:t>, </a:t>
                </a:r>
                <a:fld id="{314C97A6-03D9-436F-9C27-A763E7EBE58D}" type="PERCENTAGE">
                  <a:rPr lang="en-US" baseline="0">
                    <a:solidFill>
                      <a:schemeClr val="bg1"/>
                    </a:solidFill>
                  </a:rPr>
                  <a:pPr>
                    <a:defRPr sz="900" b="0" i="0" u="none" strike="noStrike" kern="1200" baseline="0">
                      <a:solidFill>
                        <a:schemeClr val="bg1"/>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dLbl>
          <c:idx val="0"/>
          <c:layout>
            <c:manualLayout>
              <c:x val="0.26493783246293395"/>
              <c:y val="-5.578849518810148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Version</a:t>
                </a:r>
                <a:r>
                  <a:rPr lang="en-US" baseline="0"/>
                  <a:t> </a:t>
                </a:r>
                <a:fld id="{DE34837C-5143-4E2A-B9C4-5BB5D5342129}" type="CATEGORYNAME">
                  <a:rPr lang="en-US"/>
                  <a:pPr>
                    <a:defRPr sz="900" b="0" i="0" u="none" strike="noStrike" kern="1200" baseline="0">
                      <a:solidFill>
                        <a:schemeClr val="bg1"/>
                      </a:solidFill>
                      <a:latin typeface="+mn-lt"/>
                      <a:ea typeface="+mn-ea"/>
                      <a:cs typeface="+mn-cs"/>
                    </a:defRPr>
                  </a:pPr>
                  <a:t>[CATEGORY NAME]</a:t>
                </a:fld>
                <a:endParaRPr lang="en-US" baseline="0"/>
              </a:p>
              <a:p>
                <a:pPr>
                  <a:defRPr sz="900" b="0" i="0" u="none" strike="noStrike" kern="1200" baseline="0">
                    <a:solidFill>
                      <a:schemeClr val="bg1"/>
                    </a:solidFill>
                    <a:latin typeface="+mn-lt"/>
                    <a:ea typeface="+mn-ea"/>
                    <a:cs typeface="+mn-cs"/>
                  </a:defRPr>
                </a:pPr>
                <a:r>
                  <a:rPr lang="en-US" baseline="0"/>
                  <a:t> </a:t>
                </a:r>
                <a:fld id="{4D60F540-21DF-4E3E-A035-D3E599C7DCEA}" type="VALUE">
                  <a:rPr lang="en-US" baseline="0"/>
                  <a:pPr>
                    <a:defRPr sz="900" b="0" i="0" u="none" strike="noStrike" kern="1200" baseline="0">
                      <a:solidFill>
                        <a:schemeClr val="bg1"/>
                      </a:solidFill>
                      <a:latin typeface="+mn-lt"/>
                      <a:ea typeface="+mn-ea"/>
                      <a:cs typeface="+mn-cs"/>
                    </a:defRPr>
                  </a:pPr>
                  <a:t>[VALUE]</a:t>
                </a:fld>
                <a:r>
                  <a:rPr lang="en-US" baseline="0"/>
                  <a:t>, </a:t>
                </a:r>
                <a:fld id="{9D3ABC85-DE5F-4A11-A3DF-E99E4C633F7E}" type="PERCENTAGE">
                  <a:rPr lang="en-US" baseline="0"/>
                  <a:pPr>
                    <a:defRPr sz="900" b="0" i="0" u="none" strike="noStrike" kern="1200" baseline="0">
                      <a:solidFill>
                        <a:schemeClr val="bg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3933136716656744"/>
              <c:y val="5.6391440653251676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r>
                  <a:rPr lang="en-US" sz="1100">
                    <a:solidFill>
                      <a:schemeClr val="bg1"/>
                    </a:solidFill>
                  </a:rPr>
                  <a:t>Version 3.1</a:t>
                </a:r>
                <a:endParaRPr lang="en-US" sz="1100" baseline="0">
                  <a:solidFill>
                    <a:schemeClr val="bg1"/>
                  </a:solidFill>
                </a:endParaRPr>
              </a:p>
              <a:p>
                <a:pPr>
                  <a:defRPr sz="1100">
                    <a:solidFill>
                      <a:schemeClr val="bg1"/>
                    </a:solidFill>
                  </a:defRPr>
                </a:pPr>
                <a:r>
                  <a:rPr lang="en-US" sz="1100" baseline="0">
                    <a:solidFill>
                      <a:schemeClr val="bg1"/>
                    </a:solidFill>
                  </a:rPr>
                  <a:t> </a:t>
                </a:r>
                <a:fld id="{C570321A-776B-406F-B6D0-55A7F1234D41}" type="VALUE">
                  <a:rPr lang="en-US" sz="1100" baseline="0">
                    <a:solidFill>
                      <a:schemeClr val="bg1"/>
                    </a:solidFill>
                  </a:rPr>
                  <a:pPr>
                    <a:defRPr sz="1100">
                      <a:solidFill>
                        <a:schemeClr val="bg1"/>
                      </a:solidFill>
                    </a:defRPr>
                  </a:pPr>
                  <a:t>[VALUE]</a:t>
                </a:fld>
                <a:r>
                  <a:rPr lang="en-US" sz="1100" baseline="0">
                    <a:solidFill>
                      <a:schemeClr val="bg1"/>
                    </a:solidFill>
                  </a:rPr>
                  <a:t>, </a:t>
                </a:r>
                <a:fld id="{314C97A6-03D9-436F-9C27-A763E7EBE58D}" type="PERCENTAGE">
                  <a:rPr lang="en-US" sz="1100" baseline="0">
                    <a:solidFill>
                      <a:schemeClr val="bg1"/>
                    </a:solidFill>
                  </a:rPr>
                  <a:pPr>
                    <a:defRPr sz="1100">
                      <a:solidFill>
                        <a:schemeClr val="bg1"/>
                      </a:solidFill>
                    </a:defRPr>
                  </a:pPr>
                  <a:t>[PERCENTAGE]</a:t>
                </a:fld>
                <a:endParaRPr lang="en-US" sz="1100"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4381458425035107"/>
                  <c:h val="0.2625925925925926"/>
                </c:manualLayout>
              </c15:layout>
              <c15:dlblFieldTable/>
              <c15:showDataLabelsRange val="0"/>
            </c:ext>
          </c:extLst>
        </c:dLbl>
      </c:pivotFmt>
      <c:pivotFmt>
        <c:idx val="8"/>
        <c:spPr>
          <a:solidFill>
            <a:schemeClr val="accent1"/>
          </a:solidFill>
          <a:ln w="19050">
            <a:solidFill>
              <a:schemeClr val="lt1"/>
            </a:solidFill>
          </a:ln>
          <a:effectLst/>
        </c:spPr>
        <c:dLbl>
          <c:idx val="0"/>
          <c:layout>
            <c:manualLayout>
              <c:x val="0.25384640913314743"/>
              <c:y val="-2.3381087780694122E-2"/>
            </c:manualLayout>
          </c:layout>
          <c:tx>
            <c:rich>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r>
                  <a:rPr lang="en-US" sz="1050"/>
                  <a:t>Version</a:t>
                </a:r>
                <a:r>
                  <a:rPr lang="en-US" sz="1050" baseline="0"/>
                  <a:t> </a:t>
                </a:r>
                <a:fld id="{DE34837C-5143-4E2A-B9C4-5BB5D5342129}" type="CATEGORYNAME">
                  <a:rPr lang="en-US" sz="1050"/>
                  <a:pPr>
                    <a:defRPr sz="1050">
                      <a:solidFill>
                        <a:schemeClr val="bg1"/>
                      </a:solidFill>
                    </a:defRPr>
                  </a:pPr>
                  <a:t>[CATEGORY NAME]</a:t>
                </a:fld>
                <a:endParaRPr lang="en-US" sz="1050" baseline="0"/>
              </a:p>
              <a:p>
                <a:pPr>
                  <a:defRPr sz="1050">
                    <a:solidFill>
                      <a:schemeClr val="bg1"/>
                    </a:solidFill>
                  </a:defRPr>
                </a:pPr>
                <a:r>
                  <a:rPr lang="en-US" sz="1050" baseline="0"/>
                  <a:t> </a:t>
                </a:r>
                <a:fld id="{4D60F540-21DF-4E3E-A035-D3E599C7DCEA}" type="VALUE">
                  <a:rPr lang="en-US" sz="1050" baseline="0"/>
                  <a:pPr>
                    <a:defRPr sz="1050">
                      <a:solidFill>
                        <a:schemeClr val="bg1"/>
                      </a:solidFill>
                    </a:defRPr>
                  </a:pPr>
                  <a:t>[VALUE]</a:t>
                </a:fld>
                <a:r>
                  <a:rPr lang="en-US" sz="1050" baseline="0"/>
                  <a:t>, </a:t>
                </a:r>
                <a:fld id="{9D3ABC85-DE5F-4A11-A3DF-E99E4C633F7E}" type="PERCENTAGE">
                  <a:rPr lang="en-US" sz="1050" baseline="0"/>
                  <a:pPr>
                    <a:defRPr sz="1050">
                      <a:solidFill>
                        <a:schemeClr val="bg1"/>
                      </a:solidFill>
                    </a:defRPr>
                  </a:pPr>
                  <a:t>[PERCENTAGE]</a:t>
                </a:fld>
                <a:endParaRPr lang="en-US" sz="1050" baseline="0"/>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1921335597057154"/>
                  <c:h val="0.2512962962962963"/>
                </c:manualLayout>
              </c15:layout>
              <c15:dlblFieldTable/>
              <c15:showDataLabelsRange val="0"/>
            </c:ext>
          </c:extLst>
        </c:dLbl>
      </c:pivotFmt>
    </c:pivotFmts>
    <c:plotArea>
      <c:layout/>
      <c:pieChart>
        <c:varyColors val="1"/>
        <c:ser>
          <c:idx val="0"/>
          <c:order val="0"/>
          <c:tx>
            <c:strRef>
              <c:f>'3. Tickets by App Version'!$B$3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A3-4B46-AF65-EB5FF71D8F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A3-4B46-AF65-EB5FF71D8F01}"/>
              </c:ext>
            </c:extLst>
          </c:dPt>
          <c:dLbls>
            <c:dLbl>
              <c:idx val="0"/>
              <c:layout>
                <c:manualLayout>
                  <c:x val="-0.23933136716656744"/>
                  <c:y val="5.6391440653251676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r>
                      <a:rPr lang="en-US" sz="1100">
                        <a:solidFill>
                          <a:schemeClr val="bg1"/>
                        </a:solidFill>
                      </a:rPr>
                      <a:t>Version 3.1</a:t>
                    </a:r>
                    <a:endParaRPr lang="en-US" sz="1100" baseline="0">
                      <a:solidFill>
                        <a:schemeClr val="bg1"/>
                      </a:solidFill>
                    </a:endParaRPr>
                  </a:p>
                  <a:p>
                    <a:pPr>
                      <a:defRPr sz="1100">
                        <a:solidFill>
                          <a:schemeClr val="bg1"/>
                        </a:solidFill>
                      </a:defRPr>
                    </a:pPr>
                    <a:r>
                      <a:rPr lang="en-US" sz="1100" baseline="0">
                        <a:solidFill>
                          <a:schemeClr val="bg1"/>
                        </a:solidFill>
                      </a:rPr>
                      <a:t> </a:t>
                    </a:r>
                    <a:fld id="{C570321A-776B-406F-B6D0-55A7F1234D41}" type="VALUE">
                      <a:rPr lang="en-US" sz="1100" baseline="0">
                        <a:solidFill>
                          <a:schemeClr val="bg1"/>
                        </a:solidFill>
                      </a:rPr>
                      <a:pPr>
                        <a:defRPr sz="1100">
                          <a:solidFill>
                            <a:schemeClr val="bg1"/>
                          </a:solidFill>
                        </a:defRPr>
                      </a:pPr>
                      <a:t>[VALUE]</a:t>
                    </a:fld>
                    <a:r>
                      <a:rPr lang="en-US" sz="1100" baseline="0">
                        <a:solidFill>
                          <a:schemeClr val="bg1"/>
                        </a:solidFill>
                      </a:rPr>
                      <a:t>, </a:t>
                    </a:r>
                    <a:fld id="{314C97A6-03D9-436F-9C27-A763E7EBE58D}" type="PERCENTAGE">
                      <a:rPr lang="en-US" sz="1100" baseline="0">
                        <a:solidFill>
                          <a:schemeClr val="bg1"/>
                        </a:solidFill>
                      </a:rPr>
                      <a:pPr>
                        <a:defRPr sz="1100">
                          <a:solidFill>
                            <a:schemeClr val="bg1"/>
                          </a:solidFill>
                        </a:defRPr>
                      </a:pPr>
                      <a:t>[PERCENTAGE]</a:t>
                    </a:fld>
                    <a:endParaRPr lang="en-US" sz="1100"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4381458425035107"/>
                      <c:h val="0.2625925925925926"/>
                    </c:manualLayout>
                  </c15:layout>
                  <c15:dlblFieldTable/>
                  <c15:showDataLabelsRange val="0"/>
                </c:ext>
                <c:ext xmlns:c16="http://schemas.microsoft.com/office/drawing/2014/chart" uri="{C3380CC4-5D6E-409C-BE32-E72D297353CC}">
                  <c16:uniqueId val="{00000001-8DA3-4B46-AF65-EB5FF71D8F01}"/>
                </c:ext>
              </c:extLst>
            </c:dLbl>
            <c:dLbl>
              <c:idx val="1"/>
              <c:layout>
                <c:manualLayout>
                  <c:x val="0.25384640913314743"/>
                  <c:y val="-2.3381087780694122E-2"/>
                </c:manualLayout>
              </c:layout>
              <c:tx>
                <c:rich>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r>
                      <a:rPr lang="en-US" sz="1050"/>
                      <a:t>Version</a:t>
                    </a:r>
                    <a:r>
                      <a:rPr lang="en-US" sz="1050" baseline="0"/>
                      <a:t> </a:t>
                    </a:r>
                    <a:fld id="{DE34837C-5143-4E2A-B9C4-5BB5D5342129}" type="CATEGORYNAME">
                      <a:rPr lang="en-US" sz="1050"/>
                      <a:pPr>
                        <a:defRPr sz="1050">
                          <a:solidFill>
                            <a:schemeClr val="bg1"/>
                          </a:solidFill>
                        </a:defRPr>
                      </a:pPr>
                      <a:t>[CATEGORY NAME]</a:t>
                    </a:fld>
                    <a:endParaRPr lang="en-US" sz="1050" baseline="0"/>
                  </a:p>
                  <a:p>
                    <a:pPr>
                      <a:defRPr sz="1050">
                        <a:solidFill>
                          <a:schemeClr val="bg1"/>
                        </a:solidFill>
                      </a:defRPr>
                    </a:pPr>
                    <a:r>
                      <a:rPr lang="en-US" sz="1050" baseline="0"/>
                      <a:t> </a:t>
                    </a:r>
                    <a:fld id="{4D60F540-21DF-4E3E-A035-D3E599C7DCEA}" type="VALUE">
                      <a:rPr lang="en-US" sz="1050" baseline="0"/>
                      <a:pPr>
                        <a:defRPr sz="1050">
                          <a:solidFill>
                            <a:schemeClr val="bg1"/>
                          </a:solidFill>
                        </a:defRPr>
                      </a:pPr>
                      <a:t>[VALUE]</a:t>
                    </a:fld>
                    <a:r>
                      <a:rPr lang="en-US" sz="1050" baseline="0"/>
                      <a:t>, </a:t>
                    </a:r>
                    <a:fld id="{9D3ABC85-DE5F-4A11-A3DF-E99E4C633F7E}" type="PERCENTAGE">
                      <a:rPr lang="en-US" sz="1050" baseline="0"/>
                      <a:pPr>
                        <a:defRPr sz="1050">
                          <a:solidFill>
                            <a:schemeClr val="bg1"/>
                          </a:solidFill>
                        </a:defRPr>
                      </a:pPr>
                      <a:t>[PERCENTAGE]</a:t>
                    </a:fld>
                    <a:endParaRPr lang="en-US" sz="1050" baseline="0"/>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1921335597057154"/>
                      <c:h val="0.2512962962962963"/>
                    </c:manualLayout>
                  </c15:layout>
                  <c15:dlblFieldTable/>
                  <c15:showDataLabelsRange val="0"/>
                </c:ext>
                <c:ext xmlns:c16="http://schemas.microsoft.com/office/drawing/2014/chart" uri="{C3380CC4-5D6E-409C-BE32-E72D297353CC}">
                  <c16:uniqueId val="{00000003-8DA3-4B46-AF65-EB5FF71D8F0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'3. Tickets by App Version'!$A$4:$A$5</c:f>
              <c:strCache>
                <c:ptCount val="2"/>
                <c:pt idx="0">
                  <c:v>3.1</c:v>
                </c:pt>
                <c:pt idx="1">
                  <c:v>3.2</c:v>
                </c:pt>
              </c:strCache>
            </c:strRef>
          </c:cat>
          <c:val>
            <c:numRef>
              <c:f>'3. Tickets by App Version'!$B$4:$B$5</c:f>
              <c:numCache>
                <c:formatCode>General</c:formatCode>
                <c:ptCount val="2"/>
                <c:pt idx="0">
                  <c:v>128</c:v>
                </c:pt>
                <c:pt idx="1">
                  <c:v>111</c:v>
                </c:pt>
              </c:numCache>
            </c:numRef>
          </c:val>
          <c:extLst>
            <c:ext xmlns:c16="http://schemas.microsoft.com/office/drawing/2014/chart" uri="{C3380CC4-5D6E-409C-BE32-E72D297353CC}">
              <c16:uniqueId val="{00000004-8DA3-4B46-AF65-EB5FF71D8F0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 Thakor_ Customer Support Specialist _ Case Study Dashboard.xlsx]4. Tickets by OS!PivotTable1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Tickets by 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5679133858267716"/>
              <c:y val="-7.729731700204141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2094C009-28A5-4895-B9F3-44F15604E033}" type="CATEGORYNAME">
                  <a:rPr lang="en-US"/>
                  <a:pPr>
                    <a:defRPr sz="900" b="0" i="0" u="none" strike="noStrike" kern="1200" baseline="0">
                      <a:solidFill>
                        <a:schemeClr val="bg1"/>
                      </a:solidFill>
                      <a:latin typeface="+mn-lt"/>
                      <a:ea typeface="+mn-ea"/>
                      <a:cs typeface="+mn-cs"/>
                    </a:defRPr>
                  </a:pPr>
                  <a:t>[CATEGORY NAME]</a:t>
                </a:fld>
                <a:endParaRPr lang="en-US" baseline="0"/>
              </a:p>
              <a:p>
                <a:pPr>
                  <a:defRPr sz="900" b="0" i="0" u="none" strike="noStrike" kern="1200" baseline="0">
                    <a:solidFill>
                      <a:schemeClr val="bg1"/>
                    </a:solidFill>
                    <a:latin typeface="+mn-lt"/>
                    <a:ea typeface="+mn-ea"/>
                    <a:cs typeface="+mn-cs"/>
                  </a:defRPr>
                </a:pPr>
                <a:r>
                  <a:rPr lang="en-US" baseline="0"/>
                  <a:t> </a:t>
                </a:r>
                <a:fld id="{1F063596-3D10-48C9-BDF9-D108A55CA76D}" type="VALUE">
                  <a:rPr lang="en-US" baseline="0"/>
                  <a:pPr>
                    <a:defRPr sz="900" b="0" i="0" u="none" strike="noStrike" kern="1200" baseline="0">
                      <a:solidFill>
                        <a:schemeClr val="bg1"/>
                      </a:solidFill>
                      <a:latin typeface="+mn-lt"/>
                      <a:ea typeface="+mn-ea"/>
                      <a:cs typeface="+mn-cs"/>
                    </a:defRPr>
                  </a:pPr>
                  <a:t>[VALUE]</a:t>
                </a:fld>
                <a:r>
                  <a:rPr lang="en-US" baseline="0"/>
                  <a:t>, </a:t>
                </a:r>
                <a:fld id="{9DE8BC0B-14D3-46F0-A3EF-D6A729A171A1}" type="PERCENTAGE">
                  <a:rPr lang="en-US" baseline="0"/>
                  <a:pPr>
                    <a:defRPr sz="900" b="0" i="0" u="none" strike="noStrike" kern="1200" baseline="0">
                      <a:solidFill>
                        <a:schemeClr val="bg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0.17276531058617672"/>
              <c:y val="6.748359580052493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0D780884-9840-454D-9C93-1F52B5C08244}" type="CATEGORYNAME">
                  <a:rPr lang="en-US"/>
                  <a:pPr>
                    <a:defRPr sz="900" b="0" i="0" u="none" strike="noStrike" kern="1200" baseline="0">
                      <a:solidFill>
                        <a:schemeClr val="bg1"/>
                      </a:solidFill>
                      <a:latin typeface="+mn-lt"/>
                      <a:ea typeface="+mn-ea"/>
                      <a:cs typeface="+mn-cs"/>
                    </a:defRPr>
                  </a:pPr>
                  <a:t>[CATEGORY NAME]</a:t>
                </a:fld>
                <a:endParaRPr lang="en-US" baseline="0"/>
              </a:p>
              <a:p>
                <a:pPr>
                  <a:defRPr sz="900" b="0" i="0" u="none" strike="noStrike" kern="1200" baseline="0">
                    <a:solidFill>
                      <a:schemeClr val="bg1"/>
                    </a:solidFill>
                    <a:latin typeface="+mn-lt"/>
                    <a:ea typeface="+mn-ea"/>
                    <a:cs typeface="+mn-cs"/>
                  </a:defRPr>
                </a:pPr>
                <a:r>
                  <a:rPr lang="en-US" baseline="0"/>
                  <a:t> </a:t>
                </a:r>
                <a:fld id="{887B7EE8-48E0-4FE5-8FBC-2E5E42B6D8C9}" type="VALUE">
                  <a:rPr lang="en-US" baseline="0"/>
                  <a:pPr>
                    <a:defRPr sz="900" b="0" i="0" u="none" strike="noStrike" kern="1200" baseline="0">
                      <a:solidFill>
                        <a:schemeClr val="bg1"/>
                      </a:solidFill>
                      <a:latin typeface="+mn-lt"/>
                      <a:ea typeface="+mn-ea"/>
                      <a:cs typeface="+mn-cs"/>
                    </a:defRPr>
                  </a:pPr>
                  <a:t>[VALUE]</a:t>
                </a:fld>
                <a:r>
                  <a:rPr lang="en-US" baseline="0"/>
                  <a:t>, </a:t>
                </a:r>
                <a:fld id="{25C7BB5D-6241-4A55-A5CC-E719B84962CD}" type="PERCENTAGE">
                  <a:rPr lang="en-US" baseline="0"/>
                  <a:pPr>
                    <a:defRPr sz="900" b="0" i="0" u="none" strike="noStrike" kern="1200" baseline="0">
                      <a:solidFill>
                        <a:schemeClr val="bg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7276531058617672"/>
              <c:y val="6.748359580052493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0D780884-9840-454D-9C93-1F52B5C08244}" type="CATEGORYNAME">
                  <a:rPr lang="en-US"/>
                  <a:pPr>
                    <a:defRPr sz="900" b="0" i="0" u="none" strike="noStrike" kern="1200" baseline="0">
                      <a:solidFill>
                        <a:schemeClr val="bg1"/>
                      </a:solidFill>
                      <a:latin typeface="+mn-lt"/>
                      <a:ea typeface="+mn-ea"/>
                      <a:cs typeface="+mn-cs"/>
                    </a:defRPr>
                  </a:pPr>
                  <a:t>[CATEGORY NAME]</a:t>
                </a:fld>
                <a:endParaRPr lang="en-US" baseline="0"/>
              </a:p>
              <a:p>
                <a:pPr>
                  <a:defRPr sz="900" b="0" i="0" u="none" strike="noStrike" kern="1200" baseline="0">
                    <a:solidFill>
                      <a:schemeClr val="bg1"/>
                    </a:solidFill>
                    <a:latin typeface="+mn-lt"/>
                    <a:ea typeface="+mn-ea"/>
                    <a:cs typeface="+mn-cs"/>
                  </a:defRPr>
                </a:pPr>
                <a:r>
                  <a:rPr lang="en-US" baseline="0"/>
                  <a:t> </a:t>
                </a:r>
                <a:fld id="{887B7EE8-48E0-4FE5-8FBC-2E5E42B6D8C9}" type="VALUE">
                  <a:rPr lang="en-US" baseline="0"/>
                  <a:pPr>
                    <a:defRPr sz="900" b="0" i="0" u="none" strike="noStrike" kern="1200" baseline="0">
                      <a:solidFill>
                        <a:schemeClr val="bg1"/>
                      </a:solidFill>
                      <a:latin typeface="+mn-lt"/>
                      <a:ea typeface="+mn-ea"/>
                      <a:cs typeface="+mn-cs"/>
                    </a:defRPr>
                  </a:pPr>
                  <a:t>[VALUE]</a:t>
                </a:fld>
                <a:r>
                  <a:rPr lang="en-US" baseline="0"/>
                  <a:t>, </a:t>
                </a:r>
                <a:fld id="{25C7BB5D-6241-4A55-A5CC-E719B84962CD}" type="PERCENTAGE">
                  <a:rPr lang="en-US" baseline="0"/>
                  <a:pPr>
                    <a:defRPr sz="900" b="0" i="0" u="none" strike="noStrike" kern="1200" baseline="0">
                      <a:solidFill>
                        <a:schemeClr val="bg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dLbl>
          <c:idx val="0"/>
          <c:layout>
            <c:manualLayout>
              <c:x val="0.15679133858267716"/>
              <c:y val="-7.729731700204141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2094C009-28A5-4895-B9F3-44F15604E033}" type="CATEGORYNAME">
                  <a:rPr lang="en-US"/>
                  <a:pPr>
                    <a:defRPr sz="900" b="0" i="0" u="none" strike="noStrike" kern="1200" baseline="0">
                      <a:solidFill>
                        <a:schemeClr val="bg1"/>
                      </a:solidFill>
                      <a:latin typeface="+mn-lt"/>
                      <a:ea typeface="+mn-ea"/>
                      <a:cs typeface="+mn-cs"/>
                    </a:defRPr>
                  </a:pPr>
                  <a:t>[CATEGORY NAME]</a:t>
                </a:fld>
                <a:endParaRPr lang="en-US" baseline="0"/>
              </a:p>
              <a:p>
                <a:pPr>
                  <a:defRPr sz="900" b="0" i="0" u="none" strike="noStrike" kern="1200" baseline="0">
                    <a:solidFill>
                      <a:schemeClr val="bg1"/>
                    </a:solidFill>
                    <a:latin typeface="+mn-lt"/>
                    <a:ea typeface="+mn-ea"/>
                    <a:cs typeface="+mn-cs"/>
                  </a:defRPr>
                </a:pPr>
                <a:r>
                  <a:rPr lang="en-US" baseline="0"/>
                  <a:t> </a:t>
                </a:r>
                <a:fld id="{1F063596-3D10-48C9-BDF9-D108A55CA76D}" type="VALUE">
                  <a:rPr lang="en-US" baseline="0"/>
                  <a:pPr>
                    <a:defRPr sz="900" b="0" i="0" u="none" strike="noStrike" kern="1200" baseline="0">
                      <a:solidFill>
                        <a:schemeClr val="bg1"/>
                      </a:solidFill>
                      <a:latin typeface="+mn-lt"/>
                      <a:ea typeface="+mn-ea"/>
                      <a:cs typeface="+mn-cs"/>
                    </a:defRPr>
                  </a:pPr>
                  <a:t>[VALUE]</a:t>
                </a:fld>
                <a:r>
                  <a:rPr lang="en-US" baseline="0"/>
                  <a:t>, </a:t>
                </a:r>
                <a:fld id="{9DE8BC0B-14D3-46F0-A3EF-D6A729A171A1}" type="PERCENTAGE">
                  <a:rPr lang="en-US" baseline="0"/>
                  <a:pPr>
                    <a:defRPr sz="900" b="0" i="0" u="none" strike="noStrike" kern="1200" baseline="0">
                      <a:solidFill>
                        <a:schemeClr val="bg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4916995487923568"/>
              <c:y val="2.6687809857101194E-3"/>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fld id="{0D780884-9840-454D-9C93-1F52B5C08244}" type="CATEGORYNAME">
                  <a:rPr lang="en-US" sz="1100"/>
                  <a:pPr>
                    <a:defRPr sz="1100">
                      <a:solidFill>
                        <a:schemeClr val="bg1"/>
                      </a:solidFill>
                    </a:defRPr>
                  </a:pPr>
                  <a:t>[CATEGORY NAME]</a:t>
                </a:fld>
                <a:endParaRPr lang="en-US" sz="1100" baseline="0"/>
              </a:p>
              <a:p>
                <a:pPr>
                  <a:defRPr sz="1100">
                    <a:solidFill>
                      <a:schemeClr val="bg1"/>
                    </a:solidFill>
                  </a:defRPr>
                </a:pPr>
                <a:r>
                  <a:rPr lang="en-US" sz="1100" baseline="0"/>
                  <a:t> </a:t>
                </a:r>
                <a:fld id="{887B7EE8-48E0-4FE5-8FBC-2E5E42B6D8C9}" type="VALUE">
                  <a:rPr lang="en-US" sz="1100" baseline="0"/>
                  <a:pPr>
                    <a:defRPr sz="1100">
                      <a:solidFill>
                        <a:schemeClr val="bg1"/>
                      </a:solidFill>
                    </a:defRPr>
                  </a:pPr>
                  <a:t>[VALUE]</a:t>
                </a:fld>
                <a:r>
                  <a:rPr lang="en-US" sz="1100" baseline="0"/>
                  <a:t>, </a:t>
                </a:r>
                <a:fld id="{25C7BB5D-6241-4A55-A5CC-E719B84962CD}" type="PERCENTAGE">
                  <a:rPr lang="en-US" sz="1100" baseline="0"/>
                  <a:pPr>
                    <a:defRPr sz="1100">
                      <a:solidFill>
                        <a:schemeClr val="bg1"/>
                      </a:solidFill>
                    </a:defRPr>
                  </a:pPr>
                  <a:t>[PERCENTAGE]</a:t>
                </a:fld>
                <a:endParaRPr lang="en-US" sz="1100"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2411218260638768"/>
                  <c:h val="0.20041666666666666"/>
                </c:manualLayout>
              </c15:layout>
              <c15:dlblFieldTable/>
              <c15:showDataLabelsRange val="0"/>
            </c:ext>
          </c:extLst>
        </c:dLbl>
      </c:pivotFmt>
      <c:pivotFmt>
        <c:idx val="8"/>
        <c:spPr>
          <a:solidFill>
            <a:schemeClr val="accent1"/>
          </a:solidFill>
          <a:ln w="19050">
            <a:solidFill>
              <a:schemeClr val="lt1"/>
            </a:solidFill>
          </a:ln>
          <a:effectLst/>
        </c:spPr>
        <c:dLbl>
          <c:idx val="0"/>
          <c:layout>
            <c:manualLayout>
              <c:x val="0.23993753870653808"/>
              <c:y val="-4.4890091863517063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fld id="{2094C009-28A5-4895-B9F3-44F15604E033}" type="CATEGORYNAME">
                  <a:rPr lang="en-US" sz="1100"/>
                  <a:pPr>
                    <a:defRPr sz="1100">
                      <a:solidFill>
                        <a:schemeClr val="bg1"/>
                      </a:solidFill>
                    </a:defRPr>
                  </a:pPr>
                  <a:t>[CATEGORY NAME]</a:t>
                </a:fld>
                <a:endParaRPr lang="en-US" sz="1100" baseline="0"/>
              </a:p>
              <a:p>
                <a:pPr>
                  <a:defRPr sz="1100">
                    <a:solidFill>
                      <a:schemeClr val="bg1"/>
                    </a:solidFill>
                  </a:defRPr>
                </a:pPr>
                <a:r>
                  <a:rPr lang="en-US" sz="1100" baseline="0"/>
                  <a:t> </a:t>
                </a:r>
                <a:fld id="{1F063596-3D10-48C9-BDF9-D108A55CA76D}" type="VALUE">
                  <a:rPr lang="en-US" sz="1100" baseline="0"/>
                  <a:pPr>
                    <a:defRPr sz="1100">
                      <a:solidFill>
                        <a:schemeClr val="bg1"/>
                      </a:solidFill>
                    </a:defRPr>
                  </a:pPr>
                  <a:t>[VALUE]</a:t>
                </a:fld>
                <a:r>
                  <a:rPr lang="en-US" sz="1100" baseline="0"/>
                  <a:t>, </a:t>
                </a:r>
                <a:fld id="{9DE8BC0B-14D3-46F0-A3EF-D6A729A171A1}" type="PERCENTAGE">
                  <a:rPr lang="en-US" sz="1100" baseline="0"/>
                  <a:pPr>
                    <a:defRPr sz="1100">
                      <a:solidFill>
                        <a:schemeClr val="bg1"/>
                      </a:solidFill>
                    </a:defRPr>
                  </a:pPr>
                  <a:t>[PERCENTAGE]</a:t>
                </a:fld>
                <a:endParaRPr lang="en-US" sz="1100"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2898876404494378"/>
                  <c:h val="0.21736111111111106"/>
                </c:manualLayout>
              </c15:layout>
              <c15:dlblFieldTable/>
              <c15:showDataLabelsRange val="0"/>
            </c:ext>
          </c:extLst>
        </c:dLbl>
      </c:pivotFmt>
    </c:pivotFmts>
    <c:plotArea>
      <c:layout/>
      <c:pieChart>
        <c:varyColors val="1"/>
        <c:ser>
          <c:idx val="0"/>
          <c:order val="0"/>
          <c:tx>
            <c:strRef>
              <c:f>'4. Tickets by OS'!$B$3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74-49C3-9924-AA842858E630}"/>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E474-49C3-9924-AA842858E630}"/>
              </c:ext>
            </c:extLst>
          </c:dPt>
          <c:dLbls>
            <c:dLbl>
              <c:idx val="0"/>
              <c:layout>
                <c:manualLayout>
                  <c:x val="-0.24916995487923568"/>
                  <c:y val="2.6687809857101194E-3"/>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fld id="{0D780884-9840-454D-9C93-1F52B5C08244}" type="CATEGORYNAME">
                      <a:rPr lang="en-US" sz="1100"/>
                      <a:pPr>
                        <a:defRPr sz="1100">
                          <a:solidFill>
                            <a:schemeClr val="bg1"/>
                          </a:solidFill>
                        </a:defRPr>
                      </a:pPr>
                      <a:t>[CATEGORY NAME]</a:t>
                    </a:fld>
                    <a:endParaRPr lang="en-US" sz="1100" baseline="0"/>
                  </a:p>
                  <a:p>
                    <a:pPr>
                      <a:defRPr sz="1100">
                        <a:solidFill>
                          <a:schemeClr val="bg1"/>
                        </a:solidFill>
                      </a:defRPr>
                    </a:pPr>
                    <a:r>
                      <a:rPr lang="en-US" sz="1100" baseline="0"/>
                      <a:t> </a:t>
                    </a:r>
                    <a:fld id="{887B7EE8-48E0-4FE5-8FBC-2E5E42B6D8C9}" type="VALUE">
                      <a:rPr lang="en-US" sz="1100" baseline="0"/>
                      <a:pPr>
                        <a:defRPr sz="1100">
                          <a:solidFill>
                            <a:schemeClr val="bg1"/>
                          </a:solidFill>
                        </a:defRPr>
                      </a:pPr>
                      <a:t>[VALUE]</a:t>
                    </a:fld>
                    <a:r>
                      <a:rPr lang="en-US" sz="1100" baseline="0"/>
                      <a:t>, </a:t>
                    </a:r>
                    <a:fld id="{25C7BB5D-6241-4A55-A5CC-E719B84962CD}" type="PERCENTAGE">
                      <a:rPr lang="en-US" sz="1100" baseline="0"/>
                      <a:pPr>
                        <a:defRPr sz="1100">
                          <a:solidFill>
                            <a:schemeClr val="bg1"/>
                          </a:solidFill>
                        </a:defRPr>
                      </a:pPr>
                      <a:t>[PERCENTAGE]</a:t>
                    </a:fld>
                    <a:endParaRPr lang="en-US" sz="1100"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2411218260638768"/>
                      <c:h val="0.20041666666666666"/>
                    </c:manualLayout>
                  </c15:layout>
                  <c15:dlblFieldTable/>
                  <c15:showDataLabelsRange val="0"/>
                </c:ext>
                <c:ext xmlns:c16="http://schemas.microsoft.com/office/drawing/2014/chart" uri="{C3380CC4-5D6E-409C-BE32-E72D297353CC}">
                  <c16:uniqueId val="{00000001-E474-49C3-9924-AA842858E630}"/>
                </c:ext>
              </c:extLst>
            </c:dLbl>
            <c:dLbl>
              <c:idx val="1"/>
              <c:layout>
                <c:manualLayout>
                  <c:x val="0.23993753870653808"/>
                  <c:y val="-4.4890091863517063E-2"/>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fld id="{2094C009-28A5-4895-B9F3-44F15604E033}" type="CATEGORYNAME">
                      <a:rPr lang="en-US" sz="1100"/>
                      <a:pPr>
                        <a:defRPr sz="1100">
                          <a:solidFill>
                            <a:schemeClr val="bg1"/>
                          </a:solidFill>
                        </a:defRPr>
                      </a:pPr>
                      <a:t>[CATEGORY NAME]</a:t>
                    </a:fld>
                    <a:endParaRPr lang="en-US" sz="1100" baseline="0"/>
                  </a:p>
                  <a:p>
                    <a:pPr>
                      <a:defRPr sz="1100">
                        <a:solidFill>
                          <a:schemeClr val="bg1"/>
                        </a:solidFill>
                      </a:defRPr>
                    </a:pPr>
                    <a:r>
                      <a:rPr lang="en-US" sz="1100" baseline="0"/>
                      <a:t> </a:t>
                    </a:r>
                    <a:fld id="{1F063596-3D10-48C9-BDF9-D108A55CA76D}" type="VALUE">
                      <a:rPr lang="en-US" sz="1100" baseline="0"/>
                      <a:pPr>
                        <a:defRPr sz="1100">
                          <a:solidFill>
                            <a:schemeClr val="bg1"/>
                          </a:solidFill>
                        </a:defRPr>
                      </a:pPr>
                      <a:t>[VALUE]</a:t>
                    </a:fld>
                    <a:r>
                      <a:rPr lang="en-US" sz="1100" baseline="0"/>
                      <a:t>, </a:t>
                    </a:r>
                    <a:fld id="{9DE8BC0B-14D3-46F0-A3EF-D6A729A171A1}" type="PERCENTAGE">
                      <a:rPr lang="en-US" sz="1100" baseline="0"/>
                      <a:pPr>
                        <a:defRPr sz="1100">
                          <a:solidFill>
                            <a:schemeClr val="bg1"/>
                          </a:solidFill>
                        </a:defRPr>
                      </a:pPr>
                      <a:t>[PERCENTAGE]</a:t>
                    </a:fld>
                    <a:endParaRPr lang="en-US" sz="1100" baseline="0"/>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2898876404494378"/>
                      <c:h val="0.21736111111111106"/>
                    </c:manualLayout>
                  </c15:layout>
                  <c15:dlblFieldTable/>
                  <c15:showDataLabelsRange val="0"/>
                </c:ext>
                <c:ext xmlns:c16="http://schemas.microsoft.com/office/drawing/2014/chart" uri="{C3380CC4-5D6E-409C-BE32-E72D297353CC}">
                  <c16:uniqueId val="{00000003-E474-49C3-9924-AA842858E630}"/>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'4. Tickets by OS'!$A$4:$A$5</c:f>
              <c:strCache>
                <c:ptCount val="2"/>
                <c:pt idx="0">
                  <c:v>Android</c:v>
                </c:pt>
                <c:pt idx="1">
                  <c:v>iOS</c:v>
                </c:pt>
              </c:strCache>
            </c:strRef>
          </c:cat>
          <c:val>
            <c:numRef>
              <c:f>'4. Tickets by OS'!$B$4:$B$5</c:f>
              <c:numCache>
                <c:formatCode>General</c:formatCode>
                <c:ptCount val="2"/>
                <c:pt idx="0">
                  <c:v>127</c:v>
                </c:pt>
                <c:pt idx="1">
                  <c:v>112</c:v>
                </c:pt>
              </c:numCache>
            </c:numRef>
          </c:val>
          <c:extLst>
            <c:ext xmlns:c16="http://schemas.microsoft.com/office/drawing/2014/chart" uri="{C3380CC4-5D6E-409C-BE32-E72D297353CC}">
              <c16:uniqueId val="{00000004-E474-49C3-9924-AA842858E63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 Thakor_ Customer Support Specialist _ Case Study Dashboard.xlsx]5. Customer Satisfaction!PivotTable2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'5. Customer Satisfaction'!$B$3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Customer Satisfaction'!$A$4:$A$7</c:f>
              <c:strCache>
                <c:ptCount val="4"/>
                <c:pt idx="0">
                  <c:v>Dissatisfied</c:v>
                </c:pt>
                <c:pt idx="1">
                  <c:v>Neutral</c:v>
                </c:pt>
                <c:pt idx="2">
                  <c:v>Not Rated</c:v>
                </c:pt>
                <c:pt idx="3">
                  <c:v>Satisfied</c:v>
                </c:pt>
              </c:strCache>
            </c:strRef>
          </c:cat>
          <c:val>
            <c:numRef>
              <c:f>'5. Customer Satisfaction'!$B$4:$B$7</c:f>
              <c:numCache>
                <c:formatCode>General</c:formatCode>
                <c:ptCount val="4"/>
                <c:pt idx="0">
                  <c:v>28</c:v>
                </c:pt>
                <c:pt idx="1">
                  <c:v>43</c:v>
                </c:pt>
                <c:pt idx="2">
                  <c:v>102</c:v>
                </c:pt>
                <c:pt idx="3">
                  <c:v>66</c:v>
                </c:pt>
              </c:numCache>
            </c:numRef>
          </c:val>
          <c:extLst>
            <c:ext xmlns:c16="http://schemas.microsoft.com/office/drawing/2014/chart" uri="{C3380CC4-5D6E-409C-BE32-E72D297353CC}">
              <c16:uniqueId val="{00000000-21D6-46F9-9282-259BD218939D}"/>
            </c:ext>
          </c:extLst>
        </c:ser>
        <c:dLbls>
          <c:dLblPos val="outEnd"/>
          <c:showLegendKey val="0"/>
          <c:showVal val="1"/>
          <c:showCatName val="0"/>
          <c:showSerName val="0"/>
          <c:showPercent val="0"/>
          <c:showBubbleSize val="0"/>
        </c:dLbls>
        <c:gapWidth val="219"/>
        <c:overlap val="-27"/>
        <c:axId val="601827311"/>
        <c:axId val="601847951"/>
      </c:barChart>
      <c:catAx>
        <c:axId val="6018273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 Satisfaction</a:t>
                </a:r>
                <a:r>
                  <a:rPr lang="en-IN" baseline="0"/>
                  <a:t> Level</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847951"/>
        <c:crosses val="autoZero"/>
        <c:auto val="1"/>
        <c:lblAlgn val="ctr"/>
        <c:lblOffset val="100"/>
        <c:noMultiLvlLbl val="0"/>
      </c:catAx>
      <c:valAx>
        <c:axId val="6018479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Customers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82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 Thakor_ Customer Support Specialist _ Case Study Dashboard.xlsx]6. Customer Support Rating!PivotTable3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Support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23579913831525776"/>
              <c:y val="4.7364027413240015E-2"/>
            </c:manualLayout>
          </c:layout>
          <c:tx>
            <c:rich>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fld id="{6FFA49E5-57DB-4201-8655-5C5472EECD1A}" type="CATEGORYNAME">
                  <a:rPr lang="en-US" sz="1050"/>
                  <a:pPr>
                    <a:defRPr sz="1050" b="0" i="0" u="none" strike="noStrike" kern="1200" baseline="0">
                      <a:solidFill>
                        <a:schemeClr val="bg1"/>
                      </a:solidFill>
                      <a:latin typeface="+mn-lt"/>
                      <a:ea typeface="+mn-ea"/>
                      <a:cs typeface="+mn-cs"/>
                    </a:defRPr>
                  </a:pPr>
                  <a:t>[CATEGORY NAME]</a:t>
                </a:fld>
                <a:endParaRPr lang="en-US" sz="1050" baseline="0"/>
              </a:p>
              <a:p>
                <a:pPr>
                  <a:defRPr sz="1050" b="0" i="0" u="none" strike="noStrike" kern="1200" baseline="0">
                    <a:solidFill>
                      <a:schemeClr val="bg1"/>
                    </a:solidFill>
                    <a:latin typeface="+mn-lt"/>
                    <a:ea typeface="+mn-ea"/>
                    <a:cs typeface="+mn-cs"/>
                  </a:defRPr>
                </a:pPr>
                <a:r>
                  <a:rPr lang="en-US" sz="1050" baseline="0"/>
                  <a:t> </a:t>
                </a:r>
                <a:fld id="{DAE18C6C-6EC7-4383-8066-645D3168B0A7}" type="VALUE">
                  <a:rPr lang="en-US" sz="1050" baseline="0"/>
                  <a:pPr>
                    <a:defRPr sz="1050" b="0" i="0" u="none" strike="noStrike" kern="1200" baseline="0">
                      <a:solidFill>
                        <a:schemeClr val="bg1"/>
                      </a:solidFill>
                      <a:latin typeface="+mn-lt"/>
                      <a:ea typeface="+mn-ea"/>
                      <a:cs typeface="+mn-cs"/>
                    </a:defRPr>
                  </a:pPr>
                  <a:t>[VALUE]</a:t>
                </a:fld>
                <a:r>
                  <a:rPr lang="en-US" sz="1050" baseline="0"/>
                  <a:t>, </a:t>
                </a:r>
                <a:fld id="{0E3F8830-8480-4F41-8AE4-5E1585A53F4B}" type="PERCENTAGE">
                  <a:rPr lang="en-US" sz="1050" baseline="0"/>
                  <a:pPr>
                    <a:defRPr sz="1050" b="0" i="0" u="none" strike="noStrike" kern="1200" baseline="0">
                      <a:solidFill>
                        <a:schemeClr val="bg1"/>
                      </a:solidFill>
                      <a:latin typeface="+mn-lt"/>
                      <a:ea typeface="+mn-ea"/>
                      <a:cs typeface="+mn-cs"/>
                    </a:defRPr>
                  </a:pPr>
                  <a:t>[PERCENTAGE]</a:t>
                </a:fld>
                <a:endParaRPr lang="en-US" sz="1050" baseline="0"/>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2"/>
          </a:solidFill>
          <a:ln w="19050">
            <a:solidFill>
              <a:schemeClr val="lt1"/>
            </a:solidFill>
          </a:ln>
          <a:effectLst/>
        </c:spPr>
        <c:dLbl>
          <c:idx val="0"/>
          <c:layout>
            <c:manualLayout>
              <c:x val="0.24997444659040258"/>
              <c:y val="8.0070720326624982E-3"/>
            </c:manualLayout>
          </c:layout>
          <c:tx>
            <c:rich>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fld id="{15E6EB35-C30A-4EBE-8468-63F0F318CB79}" type="CATEGORYNAME">
                  <a:rPr lang="en-US" sz="1050"/>
                  <a:pPr>
                    <a:defRPr sz="1050" b="0" i="0" u="none" strike="noStrike" kern="1200" baseline="0">
                      <a:solidFill>
                        <a:schemeClr val="bg1"/>
                      </a:solidFill>
                      <a:latin typeface="+mn-lt"/>
                      <a:ea typeface="+mn-ea"/>
                      <a:cs typeface="+mn-cs"/>
                    </a:defRPr>
                  </a:pPr>
                  <a:t>[CATEGORY NAME]</a:t>
                </a:fld>
                <a:endParaRPr lang="en-US" sz="1050" baseline="0"/>
              </a:p>
              <a:p>
                <a:pPr>
                  <a:defRPr sz="1050" b="0" i="0" u="none" strike="noStrike" kern="1200" baseline="0">
                    <a:solidFill>
                      <a:schemeClr val="bg1"/>
                    </a:solidFill>
                    <a:latin typeface="+mn-lt"/>
                    <a:ea typeface="+mn-ea"/>
                    <a:cs typeface="+mn-cs"/>
                  </a:defRPr>
                </a:pPr>
                <a:r>
                  <a:rPr lang="en-US" sz="1050" baseline="0"/>
                  <a:t> </a:t>
                </a:r>
                <a:fld id="{D17CC1F7-7E18-4A55-B384-27E0F11C6060}" type="VALUE">
                  <a:rPr lang="en-US" sz="1050" baseline="0"/>
                  <a:pPr>
                    <a:defRPr sz="1050" b="0" i="0" u="none" strike="noStrike" kern="1200" baseline="0">
                      <a:solidFill>
                        <a:schemeClr val="bg1"/>
                      </a:solidFill>
                      <a:latin typeface="+mn-lt"/>
                      <a:ea typeface="+mn-ea"/>
                      <a:cs typeface="+mn-cs"/>
                    </a:defRPr>
                  </a:pPr>
                  <a:t>[VALUE]</a:t>
                </a:fld>
                <a:r>
                  <a:rPr lang="en-US" sz="1050" baseline="0"/>
                  <a:t>, </a:t>
                </a:r>
                <a:fld id="{A209F885-04AD-4722-8366-68666524E52B}" type="PERCENTAGE">
                  <a:rPr lang="en-US" sz="1050" baseline="0"/>
                  <a:pPr>
                    <a:defRPr sz="1050" b="0" i="0" u="none" strike="noStrike" kern="1200" baseline="0">
                      <a:solidFill>
                        <a:schemeClr val="bg1"/>
                      </a:solidFill>
                      <a:latin typeface="+mn-lt"/>
                      <a:ea typeface="+mn-ea"/>
                      <a:cs typeface="+mn-cs"/>
                    </a:defRPr>
                  </a:pPr>
                  <a:t>[PERCENTAGE]</a:t>
                </a:fld>
                <a:endParaRPr lang="en-US" sz="1050" baseline="0"/>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23579913831525776"/>
              <c:y val="4.7364027413240015E-2"/>
            </c:manualLayout>
          </c:layout>
          <c:tx>
            <c:rich>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fld id="{6FFA49E5-57DB-4201-8655-5C5472EECD1A}" type="CATEGORYNAME">
                  <a:rPr lang="en-US" sz="1050"/>
                  <a:pPr>
                    <a:defRPr sz="1050" b="0" i="0" u="none" strike="noStrike" kern="1200" baseline="0">
                      <a:solidFill>
                        <a:schemeClr val="bg1"/>
                      </a:solidFill>
                      <a:latin typeface="+mn-lt"/>
                      <a:ea typeface="+mn-ea"/>
                      <a:cs typeface="+mn-cs"/>
                    </a:defRPr>
                  </a:pPr>
                  <a:t>[CATEGORY NAME]</a:t>
                </a:fld>
                <a:endParaRPr lang="en-US" sz="1050" baseline="0"/>
              </a:p>
              <a:p>
                <a:pPr>
                  <a:defRPr sz="1050" b="0" i="0" u="none" strike="noStrike" kern="1200" baseline="0">
                    <a:solidFill>
                      <a:schemeClr val="bg1"/>
                    </a:solidFill>
                    <a:latin typeface="+mn-lt"/>
                    <a:ea typeface="+mn-ea"/>
                    <a:cs typeface="+mn-cs"/>
                  </a:defRPr>
                </a:pPr>
                <a:r>
                  <a:rPr lang="en-US" sz="1050" baseline="0"/>
                  <a:t> </a:t>
                </a:r>
                <a:fld id="{DAE18C6C-6EC7-4383-8066-645D3168B0A7}" type="VALUE">
                  <a:rPr lang="en-US" sz="1050" baseline="0"/>
                  <a:pPr>
                    <a:defRPr sz="1050" b="0" i="0" u="none" strike="noStrike" kern="1200" baseline="0">
                      <a:solidFill>
                        <a:schemeClr val="bg1"/>
                      </a:solidFill>
                      <a:latin typeface="+mn-lt"/>
                      <a:ea typeface="+mn-ea"/>
                      <a:cs typeface="+mn-cs"/>
                    </a:defRPr>
                  </a:pPr>
                  <a:t>[VALUE]</a:t>
                </a:fld>
                <a:r>
                  <a:rPr lang="en-US" sz="1050" baseline="0"/>
                  <a:t>, </a:t>
                </a:r>
                <a:fld id="{0E3F8830-8480-4F41-8AE4-5E1585A53F4B}" type="PERCENTAGE">
                  <a:rPr lang="en-US" sz="1050" baseline="0"/>
                  <a:pPr>
                    <a:defRPr sz="1050" b="0" i="0" u="none" strike="noStrike" kern="1200" baseline="0">
                      <a:solidFill>
                        <a:schemeClr val="bg1"/>
                      </a:solidFill>
                      <a:latin typeface="+mn-lt"/>
                      <a:ea typeface="+mn-ea"/>
                      <a:cs typeface="+mn-cs"/>
                    </a:defRPr>
                  </a:pPr>
                  <a:t>[PERCENTAGE]</a:t>
                </a:fld>
                <a:endParaRPr lang="en-US" sz="1050" baseline="0"/>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dLbl>
          <c:idx val="0"/>
          <c:layout>
            <c:manualLayout>
              <c:x val="0.24997444659040258"/>
              <c:y val="8.0070720326624982E-3"/>
            </c:manualLayout>
          </c:layout>
          <c:tx>
            <c:rich>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fld id="{15E6EB35-C30A-4EBE-8468-63F0F318CB79}" type="CATEGORYNAME">
                  <a:rPr lang="en-US" sz="1050"/>
                  <a:pPr>
                    <a:defRPr sz="1050" b="0" i="0" u="none" strike="noStrike" kern="1200" baseline="0">
                      <a:solidFill>
                        <a:schemeClr val="bg1"/>
                      </a:solidFill>
                      <a:latin typeface="+mn-lt"/>
                      <a:ea typeface="+mn-ea"/>
                      <a:cs typeface="+mn-cs"/>
                    </a:defRPr>
                  </a:pPr>
                  <a:t>[CATEGORY NAME]</a:t>
                </a:fld>
                <a:endParaRPr lang="en-US" sz="1050" baseline="0"/>
              </a:p>
              <a:p>
                <a:pPr>
                  <a:defRPr sz="1050" b="0" i="0" u="none" strike="noStrike" kern="1200" baseline="0">
                    <a:solidFill>
                      <a:schemeClr val="bg1"/>
                    </a:solidFill>
                    <a:latin typeface="+mn-lt"/>
                    <a:ea typeface="+mn-ea"/>
                    <a:cs typeface="+mn-cs"/>
                  </a:defRPr>
                </a:pPr>
                <a:r>
                  <a:rPr lang="en-US" sz="1050" baseline="0"/>
                  <a:t> </a:t>
                </a:r>
                <a:fld id="{D17CC1F7-7E18-4A55-B384-27E0F11C6060}" type="VALUE">
                  <a:rPr lang="en-US" sz="1050" baseline="0"/>
                  <a:pPr>
                    <a:defRPr sz="1050" b="0" i="0" u="none" strike="noStrike" kern="1200" baseline="0">
                      <a:solidFill>
                        <a:schemeClr val="bg1"/>
                      </a:solidFill>
                      <a:latin typeface="+mn-lt"/>
                      <a:ea typeface="+mn-ea"/>
                      <a:cs typeface="+mn-cs"/>
                    </a:defRPr>
                  </a:pPr>
                  <a:t>[VALUE]</a:t>
                </a:fld>
                <a:r>
                  <a:rPr lang="en-US" sz="1050" baseline="0"/>
                  <a:t>, </a:t>
                </a:r>
                <a:fld id="{A209F885-04AD-4722-8366-68666524E52B}" type="PERCENTAGE">
                  <a:rPr lang="en-US" sz="1050" baseline="0"/>
                  <a:pPr>
                    <a:defRPr sz="1050" b="0" i="0" u="none" strike="noStrike" kern="1200" baseline="0">
                      <a:solidFill>
                        <a:schemeClr val="bg1"/>
                      </a:solidFill>
                      <a:latin typeface="+mn-lt"/>
                      <a:ea typeface="+mn-ea"/>
                      <a:cs typeface="+mn-cs"/>
                    </a:defRPr>
                  </a:pPr>
                  <a:t>[PERCENTAGE]</a:t>
                </a:fld>
                <a:endParaRPr lang="en-US" sz="1050" baseline="0"/>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1479146602362878"/>
              <c:y val="-3.5618985126859141E-3"/>
            </c:manualLayout>
          </c:layout>
          <c:tx>
            <c:rich>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fld id="{6FFA49E5-57DB-4201-8655-5C5472EECD1A}" type="CATEGORYNAME">
                  <a:rPr lang="en-US" sz="1050"/>
                  <a:pPr>
                    <a:defRPr sz="1050">
                      <a:solidFill>
                        <a:schemeClr val="bg1"/>
                      </a:solidFill>
                    </a:defRPr>
                  </a:pPr>
                  <a:t>[CATEGORY NAME]</a:t>
                </a:fld>
                <a:endParaRPr lang="en-US" sz="1050" baseline="0"/>
              </a:p>
              <a:p>
                <a:pPr>
                  <a:defRPr sz="1050">
                    <a:solidFill>
                      <a:schemeClr val="bg1"/>
                    </a:solidFill>
                  </a:defRPr>
                </a:pPr>
                <a:r>
                  <a:rPr lang="en-US" sz="1050" baseline="0"/>
                  <a:t> </a:t>
                </a:r>
                <a:fld id="{DAE18C6C-6EC7-4383-8066-645D3168B0A7}" type="VALUE">
                  <a:rPr lang="en-US" sz="1050" baseline="0"/>
                  <a:pPr>
                    <a:defRPr sz="1050">
                      <a:solidFill>
                        <a:schemeClr val="bg1"/>
                      </a:solidFill>
                    </a:defRPr>
                  </a:pPr>
                  <a:t>[VALUE]</a:t>
                </a:fld>
                <a:r>
                  <a:rPr lang="en-US" sz="1050" baseline="0"/>
                  <a:t>, </a:t>
                </a:r>
                <a:fld id="{0E3F8830-8480-4F41-8AE4-5E1585A53F4B}" type="PERCENTAGE">
                  <a:rPr lang="en-US" sz="1050" baseline="0"/>
                  <a:pPr>
                    <a:defRPr sz="1050">
                      <a:solidFill>
                        <a:schemeClr val="bg1"/>
                      </a:solidFill>
                    </a:defRPr>
                  </a:pPr>
                  <a:t>[PERCENTAGE]</a:t>
                </a:fld>
                <a:endParaRPr lang="en-US" sz="1050" baseline="0"/>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3334962983656934"/>
                  <c:h val="0.2512962962962963"/>
                </c:manualLayout>
              </c15:layout>
              <c15:dlblFieldTable/>
              <c15:showDataLabelsRange val="0"/>
            </c:ext>
          </c:extLst>
        </c:dLbl>
      </c:pivotFmt>
      <c:pivotFmt>
        <c:idx val="8"/>
        <c:spPr>
          <a:solidFill>
            <a:schemeClr val="accent1"/>
          </a:solidFill>
          <a:ln w="19050">
            <a:solidFill>
              <a:schemeClr val="lt1"/>
            </a:solidFill>
          </a:ln>
          <a:effectLst/>
        </c:spPr>
        <c:dLbl>
          <c:idx val="0"/>
          <c:layout>
            <c:manualLayout>
              <c:x val="0.25931106226244471"/>
              <c:y val="8.0070720326625832E-3"/>
            </c:manualLayout>
          </c:layout>
          <c:tx>
            <c:rich>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fld id="{15E6EB35-C30A-4EBE-8468-63F0F318CB79}" type="CATEGORYNAME">
                  <a:rPr lang="en-US" sz="1050"/>
                  <a:pPr>
                    <a:defRPr sz="1050">
                      <a:solidFill>
                        <a:schemeClr val="bg1"/>
                      </a:solidFill>
                    </a:defRPr>
                  </a:pPr>
                  <a:t>[CATEGORY NAME]</a:t>
                </a:fld>
                <a:endParaRPr lang="en-US" sz="1050" baseline="0"/>
              </a:p>
              <a:p>
                <a:pPr>
                  <a:defRPr sz="1050">
                    <a:solidFill>
                      <a:schemeClr val="bg1"/>
                    </a:solidFill>
                  </a:defRPr>
                </a:pPr>
                <a:r>
                  <a:rPr lang="en-US" sz="1050" baseline="0"/>
                  <a:t> </a:t>
                </a:r>
                <a:fld id="{D17CC1F7-7E18-4A55-B384-27E0F11C6060}" type="VALUE">
                  <a:rPr lang="en-US" sz="1050" baseline="0"/>
                  <a:pPr>
                    <a:defRPr sz="1050">
                      <a:solidFill>
                        <a:schemeClr val="bg1"/>
                      </a:solidFill>
                    </a:defRPr>
                  </a:pPr>
                  <a:t>[VALUE]</a:t>
                </a:fld>
                <a:r>
                  <a:rPr lang="en-US" sz="1050" baseline="0"/>
                  <a:t>, </a:t>
                </a:r>
                <a:fld id="{A209F885-04AD-4722-8366-68666524E52B}" type="PERCENTAGE">
                  <a:rPr lang="en-US" sz="1050" baseline="0"/>
                  <a:pPr>
                    <a:defRPr sz="1050">
                      <a:solidFill>
                        <a:schemeClr val="bg1"/>
                      </a:solidFill>
                    </a:defRPr>
                  </a:pPr>
                  <a:t>[PERCENTAGE]</a:t>
                </a:fld>
                <a:endParaRPr lang="en-US" sz="1050" baseline="0"/>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3801802662824123"/>
                  <c:h val="0.19194444444444445"/>
                </c:manualLayout>
              </c15:layout>
              <c15:dlblFieldTable/>
              <c15:showDataLabelsRange val="0"/>
            </c:ext>
          </c:extLst>
        </c:dLbl>
      </c:pivotFmt>
    </c:pivotFmts>
    <c:plotArea>
      <c:layout/>
      <c:pieChart>
        <c:varyColors val="1"/>
        <c:ser>
          <c:idx val="0"/>
          <c:order val="0"/>
          <c:tx>
            <c:strRef>
              <c:f>'6. Customer Support Rating'!$B$3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FA-4E71-A484-7A372A145E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FA-4E71-A484-7A372A145E09}"/>
              </c:ext>
            </c:extLst>
          </c:dPt>
          <c:dLbls>
            <c:dLbl>
              <c:idx val="0"/>
              <c:layout>
                <c:manualLayout>
                  <c:x val="-0.21479146602362878"/>
                  <c:y val="-3.5618985126859141E-3"/>
                </c:manualLayout>
              </c:layout>
              <c:tx>
                <c:rich>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fld id="{6FFA49E5-57DB-4201-8655-5C5472EECD1A}" type="CATEGORYNAME">
                      <a:rPr lang="en-US" sz="1050"/>
                      <a:pPr>
                        <a:defRPr sz="1050">
                          <a:solidFill>
                            <a:schemeClr val="bg1"/>
                          </a:solidFill>
                        </a:defRPr>
                      </a:pPr>
                      <a:t>[CATEGORY NAME]</a:t>
                    </a:fld>
                    <a:endParaRPr lang="en-US" sz="1050" baseline="0"/>
                  </a:p>
                  <a:p>
                    <a:pPr>
                      <a:defRPr sz="1050">
                        <a:solidFill>
                          <a:schemeClr val="bg1"/>
                        </a:solidFill>
                      </a:defRPr>
                    </a:pPr>
                    <a:r>
                      <a:rPr lang="en-US" sz="1050" baseline="0"/>
                      <a:t> </a:t>
                    </a:r>
                    <a:fld id="{DAE18C6C-6EC7-4383-8066-645D3168B0A7}" type="VALUE">
                      <a:rPr lang="en-US" sz="1050" baseline="0"/>
                      <a:pPr>
                        <a:defRPr sz="1050">
                          <a:solidFill>
                            <a:schemeClr val="bg1"/>
                          </a:solidFill>
                        </a:defRPr>
                      </a:pPr>
                      <a:t>[VALUE]</a:t>
                    </a:fld>
                    <a:r>
                      <a:rPr lang="en-US" sz="1050" baseline="0"/>
                      <a:t>, </a:t>
                    </a:r>
                    <a:fld id="{0E3F8830-8480-4F41-8AE4-5E1585A53F4B}" type="PERCENTAGE">
                      <a:rPr lang="en-US" sz="1050" baseline="0"/>
                      <a:pPr>
                        <a:defRPr sz="1050">
                          <a:solidFill>
                            <a:schemeClr val="bg1"/>
                          </a:solidFill>
                        </a:defRPr>
                      </a:pPr>
                      <a:t>[PERCENTAGE]</a:t>
                    </a:fld>
                    <a:endParaRPr lang="en-US" sz="1050" baseline="0"/>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3334962983656934"/>
                      <c:h val="0.2512962962962963"/>
                    </c:manualLayout>
                  </c15:layout>
                  <c15:dlblFieldTable/>
                  <c15:showDataLabelsRange val="0"/>
                </c:ext>
                <c:ext xmlns:c16="http://schemas.microsoft.com/office/drawing/2014/chart" uri="{C3380CC4-5D6E-409C-BE32-E72D297353CC}">
                  <c16:uniqueId val="{00000001-58FA-4E71-A484-7A372A145E09}"/>
                </c:ext>
              </c:extLst>
            </c:dLbl>
            <c:dLbl>
              <c:idx val="1"/>
              <c:layout>
                <c:manualLayout>
                  <c:x val="0.25931106226244471"/>
                  <c:y val="8.0070720326625832E-3"/>
                </c:manualLayout>
              </c:layout>
              <c:tx>
                <c:rich>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fld id="{15E6EB35-C30A-4EBE-8468-63F0F318CB79}" type="CATEGORYNAME">
                      <a:rPr lang="en-US" sz="1050"/>
                      <a:pPr>
                        <a:defRPr sz="1050">
                          <a:solidFill>
                            <a:schemeClr val="bg1"/>
                          </a:solidFill>
                        </a:defRPr>
                      </a:pPr>
                      <a:t>[CATEGORY NAME]</a:t>
                    </a:fld>
                    <a:endParaRPr lang="en-US" sz="1050" baseline="0"/>
                  </a:p>
                  <a:p>
                    <a:pPr>
                      <a:defRPr sz="1050">
                        <a:solidFill>
                          <a:schemeClr val="bg1"/>
                        </a:solidFill>
                      </a:defRPr>
                    </a:pPr>
                    <a:r>
                      <a:rPr lang="en-US" sz="1050" baseline="0"/>
                      <a:t> </a:t>
                    </a:r>
                    <a:fld id="{D17CC1F7-7E18-4A55-B384-27E0F11C6060}" type="VALUE">
                      <a:rPr lang="en-US" sz="1050" baseline="0"/>
                      <a:pPr>
                        <a:defRPr sz="1050">
                          <a:solidFill>
                            <a:schemeClr val="bg1"/>
                          </a:solidFill>
                        </a:defRPr>
                      </a:pPr>
                      <a:t>[VALUE]</a:t>
                    </a:fld>
                    <a:r>
                      <a:rPr lang="en-US" sz="1050" baseline="0"/>
                      <a:t>, </a:t>
                    </a:r>
                    <a:fld id="{A209F885-04AD-4722-8366-68666524E52B}" type="PERCENTAGE">
                      <a:rPr lang="en-US" sz="1050" baseline="0"/>
                      <a:pPr>
                        <a:defRPr sz="1050">
                          <a:solidFill>
                            <a:schemeClr val="bg1"/>
                          </a:solidFill>
                        </a:defRPr>
                      </a:pPr>
                      <a:t>[PERCENTAGE]</a:t>
                    </a:fld>
                    <a:endParaRPr lang="en-US" sz="1050" baseline="0"/>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3801802662824123"/>
                      <c:h val="0.19194444444444445"/>
                    </c:manualLayout>
                  </c15:layout>
                  <c15:dlblFieldTable/>
                  <c15:showDataLabelsRange val="0"/>
                </c:ext>
                <c:ext xmlns:c16="http://schemas.microsoft.com/office/drawing/2014/chart" uri="{C3380CC4-5D6E-409C-BE32-E72D297353CC}">
                  <c16:uniqueId val="{00000003-58FA-4E71-A484-7A372A145E09}"/>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'6. Customer Support Rating'!$A$4:$A$5</c:f>
              <c:strCache>
                <c:ptCount val="2"/>
                <c:pt idx="0">
                  <c:v>Not Rated</c:v>
                </c:pt>
                <c:pt idx="1">
                  <c:v>Rated</c:v>
                </c:pt>
              </c:strCache>
            </c:strRef>
          </c:cat>
          <c:val>
            <c:numRef>
              <c:f>'6. Customer Support Rating'!$B$4:$B$5</c:f>
              <c:numCache>
                <c:formatCode>General</c:formatCode>
                <c:ptCount val="2"/>
                <c:pt idx="0">
                  <c:v>102</c:v>
                </c:pt>
                <c:pt idx="1">
                  <c:v>137</c:v>
                </c:pt>
              </c:numCache>
            </c:numRef>
          </c:val>
          <c:extLst>
            <c:ext xmlns:c16="http://schemas.microsoft.com/office/drawing/2014/chart" uri="{C3380CC4-5D6E-409C-BE32-E72D297353CC}">
              <c16:uniqueId val="{00000004-58FA-4E71-A484-7A372A145E0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 Thakor_ Customer Support Specialist _ Case Study Dashboard.xlsx]7. Time taken to resolve ticket!PivotTable4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 taken to resolve</a:t>
            </a:r>
            <a:r>
              <a:rPr lang="en-US" baseline="0"/>
              <a:t> tickets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'7. Time taken to resolve ticket'!$B$3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'7. Time taken to resolve ticket'!$A$4:$A$6</c:f>
              <c:strCache>
                <c:ptCount val="3"/>
                <c:pt idx="0">
                  <c:v>1 Day</c:v>
                </c:pt>
                <c:pt idx="1">
                  <c:v>2 Days</c:v>
                </c:pt>
                <c:pt idx="2">
                  <c:v>More than 2 days</c:v>
                </c:pt>
              </c:strCache>
            </c:strRef>
          </c:cat>
          <c:val>
            <c:numRef>
              <c:f>'7. Time taken to resolve ticket'!$B$4:$B$6</c:f>
              <c:numCache>
                <c:formatCode>General</c:formatCode>
                <c:ptCount val="3"/>
                <c:pt idx="0">
                  <c:v>157</c:v>
                </c:pt>
                <c:pt idx="1">
                  <c:v>59</c:v>
                </c:pt>
                <c:pt idx="2">
                  <c:v>23</c:v>
                </c:pt>
              </c:numCache>
            </c:numRef>
          </c:val>
          <c:extLst>
            <c:ext xmlns:c16="http://schemas.microsoft.com/office/drawing/2014/chart" uri="{C3380CC4-5D6E-409C-BE32-E72D297353CC}">
              <c16:uniqueId val="{00000000-CADB-455B-9FF6-F463A7489DE0}"/>
            </c:ext>
          </c:extLst>
        </c:ser>
        <c:dLbls>
          <c:dLblPos val="outEnd"/>
          <c:showLegendKey val="0"/>
          <c:showVal val="1"/>
          <c:showCatName val="0"/>
          <c:showSerName val="0"/>
          <c:showPercent val="0"/>
          <c:showBubbleSize val="0"/>
        </c:dLbls>
        <c:gapWidth val="219"/>
        <c:overlap val="-27"/>
        <c:axId val="601861871"/>
        <c:axId val="601862351"/>
      </c:barChart>
      <c:catAx>
        <c:axId val="601861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 of 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862351"/>
        <c:crosses val="autoZero"/>
        <c:auto val="1"/>
        <c:lblAlgn val="ctr"/>
        <c:lblOffset val="100"/>
        <c:noMultiLvlLbl val="0"/>
      </c:catAx>
      <c:valAx>
        <c:axId val="6018623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Tickets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86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 Thakor_ Customer Support Specialist _ Case Study Dashboard.xlsx]8. SLA for First Response!PivotTable6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SLA for</a:t>
            </a:r>
            <a:r>
              <a:rPr lang="en-IN" baseline="0"/>
              <a:t> F</a:t>
            </a:r>
            <a:r>
              <a:rPr lang="en-IN"/>
              <a:t>irst Response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2383125619231371"/>
              <c:y val="-0.1551665937591134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DDE5DC54-1548-47A1-83BA-0C2627F0A6D0}" type="CATEGORYNAME">
                  <a:rPr lang="en-US"/>
                  <a:pPr>
                    <a:defRPr sz="900" b="0" i="0" u="none" strike="noStrike" kern="1200" baseline="0">
                      <a:solidFill>
                        <a:schemeClr val="bg1"/>
                      </a:solidFill>
                      <a:latin typeface="+mn-lt"/>
                      <a:ea typeface="+mn-ea"/>
                      <a:cs typeface="+mn-cs"/>
                    </a:defRPr>
                  </a:pPr>
                  <a:t>[CATEGORY NAME]</a:t>
                </a:fld>
                <a:endParaRPr lang="en-US" baseline="0"/>
              </a:p>
              <a:p>
                <a:pPr>
                  <a:defRPr sz="900" b="0" i="0" u="none" strike="noStrike" kern="1200" baseline="0">
                    <a:solidFill>
                      <a:schemeClr val="bg1"/>
                    </a:solidFill>
                    <a:latin typeface="+mn-lt"/>
                    <a:ea typeface="+mn-ea"/>
                    <a:cs typeface="+mn-cs"/>
                  </a:defRPr>
                </a:pPr>
                <a:r>
                  <a:rPr lang="en-US" baseline="0"/>
                  <a:t> </a:t>
                </a:r>
                <a:fld id="{5422C6C2-0057-4038-B7EB-A7AE7B6D5355}" type="VALUE">
                  <a:rPr lang="en-US" baseline="0"/>
                  <a:pPr>
                    <a:defRPr sz="900" b="0" i="0" u="none" strike="noStrike" kern="1200" baseline="0">
                      <a:solidFill>
                        <a:schemeClr val="bg1"/>
                      </a:solidFill>
                      <a:latin typeface="+mn-lt"/>
                      <a:ea typeface="+mn-ea"/>
                      <a:cs typeface="+mn-cs"/>
                    </a:defRPr>
                  </a:pPr>
                  <a:t>[VALUE]</a:t>
                </a:fld>
                <a:r>
                  <a:rPr lang="en-US" baseline="0"/>
                  <a:t>, </a:t>
                </a:r>
                <a:fld id="{A5361EF9-9BD4-45CA-9320-CF65BD02F230}" type="PERCENTAGE">
                  <a:rPr lang="en-US" baseline="0"/>
                  <a:pPr>
                    <a:defRPr sz="900" b="0" i="0" u="none" strike="noStrike" kern="1200" baseline="0">
                      <a:solidFill>
                        <a:schemeClr val="bg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0.22121951643461785"/>
              <c:y val="0.1559496208807232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2159D02F-967D-4005-A71E-1C1BA086BD7C}" type="CATEGORYNAME">
                  <a:rPr lang="en-US"/>
                  <a:pPr>
                    <a:defRPr sz="900" b="0" i="0" u="none" strike="noStrike" kern="1200" baseline="0">
                      <a:solidFill>
                        <a:schemeClr val="bg1"/>
                      </a:solidFill>
                      <a:latin typeface="+mn-lt"/>
                      <a:ea typeface="+mn-ea"/>
                      <a:cs typeface="+mn-cs"/>
                    </a:defRPr>
                  </a:pPr>
                  <a:t>[CATEGORY NAME]</a:t>
                </a:fld>
                <a:endParaRPr lang="en-US" baseline="0"/>
              </a:p>
              <a:p>
                <a:pPr>
                  <a:defRPr sz="900" b="0" i="0" u="none" strike="noStrike" kern="1200" baseline="0">
                    <a:solidFill>
                      <a:schemeClr val="bg1"/>
                    </a:solidFill>
                    <a:latin typeface="+mn-lt"/>
                    <a:ea typeface="+mn-ea"/>
                    <a:cs typeface="+mn-cs"/>
                  </a:defRPr>
                </a:pPr>
                <a:r>
                  <a:rPr lang="en-US" baseline="0"/>
                  <a:t> </a:t>
                </a:r>
                <a:fld id="{810054C1-3A56-490A-B340-BE3940BAD74A}" type="VALUE">
                  <a:rPr lang="en-US" baseline="0"/>
                  <a:pPr>
                    <a:defRPr sz="900" b="0" i="0" u="none" strike="noStrike" kern="1200" baseline="0">
                      <a:solidFill>
                        <a:schemeClr val="bg1"/>
                      </a:solidFill>
                      <a:latin typeface="+mn-lt"/>
                      <a:ea typeface="+mn-ea"/>
                      <a:cs typeface="+mn-cs"/>
                    </a:defRPr>
                  </a:pPr>
                  <a:t>[VALUE]</a:t>
                </a:fld>
                <a:r>
                  <a:rPr lang="en-US" baseline="0"/>
                  <a:t>, </a:t>
                </a:r>
                <a:fld id="{B5A7DCEB-4A7F-4E47-9CE1-675921277491}" type="PERCENTAGE">
                  <a:rPr lang="en-US" baseline="0"/>
                  <a:pPr>
                    <a:defRPr sz="900" b="0" i="0" u="none" strike="noStrike" kern="1200" baseline="0">
                      <a:solidFill>
                        <a:schemeClr val="bg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22121951643461785"/>
              <c:y val="0.1559496208807232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2159D02F-967D-4005-A71E-1C1BA086BD7C}" type="CATEGORYNAME">
                  <a:rPr lang="en-US"/>
                  <a:pPr>
                    <a:defRPr sz="900" b="0" i="0" u="none" strike="noStrike" kern="1200" baseline="0">
                      <a:solidFill>
                        <a:schemeClr val="bg1"/>
                      </a:solidFill>
                      <a:latin typeface="+mn-lt"/>
                      <a:ea typeface="+mn-ea"/>
                      <a:cs typeface="+mn-cs"/>
                    </a:defRPr>
                  </a:pPr>
                  <a:t>[CATEGORY NAME]</a:t>
                </a:fld>
                <a:endParaRPr lang="en-US" baseline="0"/>
              </a:p>
              <a:p>
                <a:pPr>
                  <a:defRPr sz="900" b="0" i="0" u="none" strike="noStrike" kern="1200" baseline="0">
                    <a:solidFill>
                      <a:schemeClr val="bg1"/>
                    </a:solidFill>
                    <a:latin typeface="+mn-lt"/>
                    <a:ea typeface="+mn-ea"/>
                    <a:cs typeface="+mn-cs"/>
                  </a:defRPr>
                </a:pPr>
                <a:r>
                  <a:rPr lang="en-US" baseline="0"/>
                  <a:t> </a:t>
                </a:r>
                <a:fld id="{810054C1-3A56-490A-B340-BE3940BAD74A}" type="VALUE">
                  <a:rPr lang="en-US" baseline="0"/>
                  <a:pPr>
                    <a:defRPr sz="900" b="0" i="0" u="none" strike="noStrike" kern="1200" baseline="0">
                      <a:solidFill>
                        <a:schemeClr val="bg1"/>
                      </a:solidFill>
                      <a:latin typeface="+mn-lt"/>
                      <a:ea typeface="+mn-ea"/>
                      <a:cs typeface="+mn-cs"/>
                    </a:defRPr>
                  </a:pPr>
                  <a:t>[VALUE]</a:t>
                </a:fld>
                <a:r>
                  <a:rPr lang="en-US" baseline="0"/>
                  <a:t>, </a:t>
                </a:r>
                <a:fld id="{B5A7DCEB-4A7F-4E47-9CE1-675921277491}" type="PERCENTAGE">
                  <a:rPr lang="en-US" baseline="0"/>
                  <a:pPr>
                    <a:defRPr sz="900" b="0" i="0" u="none" strike="noStrike" kern="1200" baseline="0">
                      <a:solidFill>
                        <a:schemeClr val="bg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dLbl>
          <c:idx val="0"/>
          <c:layout>
            <c:manualLayout>
              <c:x val="0.2383125619231371"/>
              <c:y val="-0.1551665937591134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DDE5DC54-1548-47A1-83BA-0C2627F0A6D0}" type="CATEGORYNAME">
                  <a:rPr lang="en-US"/>
                  <a:pPr>
                    <a:defRPr sz="900" b="0" i="0" u="none" strike="noStrike" kern="1200" baseline="0">
                      <a:solidFill>
                        <a:schemeClr val="bg1"/>
                      </a:solidFill>
                      <a:latin typeface="+mn-lt"/>
                      <a:ea typeface="+mn-ea"/>
                      <a:cs typeface="+mn-cs"/>
                    </a:defRPr>
                  </a:pPr>
                  <a:t>[CATEGORY NAME]</a:t>
                </a:fld>
                <a:endParaRPr lang="en-US" baseline="0"/>
              </a:p>
              <a:p>
                <a:pPr>
                  <a:defRPr sz="900" b="0" i="0" u="none" strike="noStrike" kern="1200" baseline="0">
                    <a:solidFill>
                      <a:schemeClr val="bg1"/>
                    </a:solidFill>
                    <a:latin typeface="+mn-lt"/>
                    <a:ea typeface="+mn-ea"/>
                    <a:cs typeface="+mn-cs"/>
                  </a:defRPr>
                </a:pPr>
                <a:r>
                  <a:rPr lang="en-US" baseline="0"/>
                  <a:t> </a:t>
                </a:r>
                <a:fld id="{5422C6C2-0057-4038-B7EB-A7AE7B6D5355}" type="VALUE">
                  <a:rPr lang="en-US" baseline="0"/>
                  <a:pPr>
                    <a:defRPr sz="900" b="0" i="0" u="none" strike="noStrike" kern="1200" baseline="0">
                      <a:solidFill>
                        <a:schemeClr val="bg1"/>
                      </a:solidFill>
                      <a:latin typeface="+mn-lt"/>
                      <a:ea typeface="+mn-ea"/>
                      <a:cs typeface="+mn-cs"/>
                    </a:defRPr>
                  </a:pPr>
                  <a:t>[VALUE]</a:t>
                </a:fld>
                <a:r>
                  <a:rPr lang="en-US" baseline="0"/>
                  <a:t>, </a:t>
                </a:r>
                <a:fld id="{A5361EF9-9BD4-45CA-9320-CF65BD02F230}" type="PERCENTAGE">
                  <a:rPr lang="en-US" baseline="0"/>
                  <a:pPr>
                    <a:defRPr sz="900" b="0" i="0" u="none" strike="noStrike" kern="1200" baseline="0">
                      <a:solidFill>
                        <a:schemeClr val="bg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2121951643461785"/>
              <c:y val="0.1559496208807232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2159D02F-967D-4005-A71E-1C1BA086BD7C}" type="CATEGORYNAME">
                  <a:rPr lang="en-US"/>
                  <a:pPr>
                    <a:defRPr>
                      <a:solidFill>
                        <a:schemeClr val="bg1"/>
                      </a:solidFill>
                    </a:defRPr>
                  </a:pPr>
                  <a:t>[CATEGORY NAME]</a:t>
                </a:fld>
                <a:endParaRPr lang="en-US" baseline="0"/>
              </a:p>
              <a:p>
                <a:pPr>
                  <a:defRPr>
                    <a:solidFill>
                      <a:schemeClr val="bg1"/>
                    </a:solidFill>
                  </a:defRPr>
                </a:pPr>
                <a:r>
                  <a:rPr lang="en-US" baseline="0"/>
                  <a:t> </a:t>
                </a:r>
                <a:fld id="{810054C1-3A56-490A-B340-BE3940BAD74A}" type="VALUE">
                  <a:rPr lang="en-US" baseline="0"/>
                  <a:pPr>
                    <a:defRPr>
                      <a:solidFill>
                        <a:schemeClr val="bg1"/>
                      </a:solidFill>
                    </a:defRPr>
                  </a:pPr>
                  <a:t>[VALUE]</a:t>
                </a:fld>
                <a:r>
                  <a:rPr lang="en-US" baseline="0"/>
                  <a:t>, </a:t>
                </a:r>
                <a:fld id="{B5A7DCEB-4A7F-4E47-9CE1-675921277491}" type="PERCENTAGE">
                  <a:rPr lang="en-US" baseline="0"/>
                  <a:pPr>
                    <a:defRPr>
                      <a:solidFill>
                        <a:schemeClr val="bg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dLbl>
          <c:idx val="0"/>
          <c:layout>
            <c:manualLayout>
              <c:x val="0.2383125619231371"/>
              <c:y val="-0.1551665937591134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DDE5DC54-1548-47A1-83BA-0C2627F0A6D0}" type="CATEGORYNAME">
                  <a:rPr lang="en-US"/>
                  <a:pPr>
                    <a:defRPr>
                      <a:solidFill>
                        <a:schemeClr val="bg1"/>
                      </a:solidFill>
                    </a:defRPr>
                  </a:pPr>
                  <a:t>[CATEGORY NAME]</a:t>
                </a:fld>
                <a:endParaRPr lang="en-US" baseline="0"/>
              </a:p>
              <a:p>
                <a:pPr>
                  <a:defRPr>
                    <a:solidFill>
                      <a:schemeClr val="bg1"/>
                    </a:solidFill>
                  </a:defRPr>
                </a:pPr>
                <a:r>
                  <a:rPr lang="en-US" baseline="0"/>
                  <a:t> </a:t>
                </a:r>
                <a:fld id="{5422C6C2-0057-4038-B7EB-A7AE7B6D5355}" type="VALUE">
                  <a:rPr lang="en-US" baseline="0"/>
                  <a:pPr>
                    <a:defRPr>
                      <a:solidFill>
                        <a:schemeClr val="bg1"/>
                      </a:solidFill>
                    </a:defRPr>
                  </a:pPr>
                  <a:t>[VALUE]</a:t>
                </a:fld>
                <a:r>
                  <a:rPr lang="en-US" baseline="0"/>
                  <a:t>, </a:t>
                </a:r>
                <a:fld id="{A5361EF9-9BD4-45CA-9320-CF65BD02F230}" type="PERCENTAGE">
                  <a:rPr lang="en-US" baseline="0"/>
                  <a:pPr>
                    <a:defRPr>
                      <a:solidFill>
                        <a:schemeClr val="bg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'8. SLA for First Response'!$B$3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CE-45EE-8736-94056A45E7FC}"/>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E7CE-45EE-8736-94056A45E7FC}"/>
              </c:ext>
            </c:extLst>
          </c:dPt>
          <c:dLbls>
            <c:dLbl>
              <c:idx val="0"/>
              <c:layout>
                <c:manualLayout>
                  <c:x val="-0.22121951643461785"/>
                  <c:y val="0.15594962088072326"/>
                </c:manualLayout>
              </c:layout>
              <c:tx>
                <c:rich>
                  <a:bodyPr/>
                  <a:lstStyle/>
                  <a:p>
                    <a:fld id="{2159D02F-967D-4005-A71E-1C1BA086BD7C}" type="CATEGORYNAME">
                      <a:rPr lang="en-US"/>
                      <a:pPr/>
                      <a:t>[CATEGORY NAME]</a:t>
                    </a:fld>
                    <a:endParaRPr lang="en-US" baseline="0"/>
                  </a:p>
                  <a:p>
                    <a:r>
                      <a:rPr lang="en-US" baseline="0"/>
                      <a:t> </a:t>
                    </a:r>
                    <a:fld id="{810054C1-3A56-490A-B340-BE3940BAD74A}" type="VALUE">
                      <a:rPr lang="en-US" baseline="0"/>
                      <a:pPr/>
                      <a:t>[VALUE]</a:t>
                    </a:fld>
                    <a:r>
                      <a:rPr lang="en-US" baseline="0"/>
                      <a:t>, </a:t>
                    </a:r>
                    <a:fld id="{B5A7DCEB-4A7F-4E47-9CE1-675921277491}" type="PERCENTAGE">
                      <a:rPr lang="en-US" baseline="0"/>
                      <a:pPr/>
                      <a:t>[PERCENTAGE]</a:t>
                    </a:fld>
                    <a:endParaRPr lang="en-US" baseline="0"/>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7CE-45EE-8736-94056A45E7FC}"/>
                </c:ext>
              </c:extLst>
            </c:dLbl>
            <c:dLbl>
              <c:idx val="1"/>
              <c:layout>
                <c:manualLayout>
                  <c:x val="0.2383125619231371"/>
                  <c:y val="-0.15516659375911343"/>
                </c:manualLayout>
              </c:layout>
              <c:tx>
                <c:rich>
                  <a:bodyPr/>
                  <a:lstStyle/>
                  <a:p>
                    <a:fld id="{DDE5DC54-1548-47A1-83BA-0C2627F0A6D0}" type="CATEGORYNAME">
                      <a:rPr lang="en-US"/>
                      <a:pPr/>
                      <a:t>[CATEGORY NAME]</a:t>
                    </a:fld>
                    <a:endParaRPr lang="en-US" baseline="0"/>
                  </a:p>
                  <a:p>
                    <a:r>
                      <a:rPr lang="en-US" baseline="0"/>
                      <a:t> </a:t>
                    </a:r>
                    <a:fld id="{5422C6C2-0057-4038-B7EB-A7AE7B6D5355}" type="VALUE">
                      <a:rPr lang="en-US" baseline="0"/>
                      <a:pPr/>
                      <a:t>[VALUE]</a:t>
                    </a:fld>
                    <a:r>
                      <a:rPr lang="en-US" baseline="0"/>
                      <a:t>, </a:t>
                    </a:r>
                    <a:fld id="{A5361EF9-9BD4-45CA-9320-CF65BD02F230}" type="PERCENTAGE">
                      <a:rPr lang="en-US" baseline="0"/>
                      <a:pPr/>
                      <a:t>[PERCENTAGE]</a:t>
                    </a:fld>
                    <a:endParaRPr lang="en-US" baseline="0"/>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7CE-45EE-8736-94056A45E7F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'8. SLA for First Response'!$A$4:$A$5</c:f>
              <c:strCache>
                <c:ptCount val="2"/>
                <c:pt idx="0">
                  <c:v>Failed to meet SLA</c:v>
                </c:pt>
                <c:pt idx="1">
                  <c:v>SLA met</c:v>
                </c:pt>
              </c:strCache>
            </c:strRef>
          </c:cat>
          <c:val>
            <c:numRef>
              <c:f>'8. SLA for First Response'!$B$4:$B$5</c:f>
              <c:numCache>
                <c:formatCode>General</c:formatCode>
                <c:ptCount val="2"/>
                <c:pt idx="0">
                  <c:v>67</c:v>
                </c:pt>
                <c:pt idx="1">
                  <c:v>172</c:v>
                </c:pt>
              </c:numCache>
            </c:numRef>
          </c:val>
          <c:extLst>
            <c:ext xmlns:c16="http://schemas.microsoft.com/office/drawing/2014/chart" uri="{C3380CC4-5D6E-409C-BE32-E72D297353CC}">
              <c16:uniqueId val="{00000004-E7CE-45EE-8736-94056A45E7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 Thakor_ Customer Support Specialist _ Case Study Dashboard.xlsx]1. Total Tickets by Category!Tickets by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Tickets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 Total Tickets by Category'!$B$3</c:f>
              <c:strCache>
                <c:ptCount val="1"/>
                <c:pt idx="0">
                  <c:v>Total</c:v>
                </c:pt>
              </c:strCache>
            </c:strRef>
          </c:tx>
          <c:spPr>
            <a:solidFill>
              <a:schemeClr val="accent1"/>
            </a:solidFill>
            <a:ln>
              <a:noFill/>
            </a:ln>
            <a:effectLst/>
          </c:spPr>
          <c:invertIfNegative val="0"/>
          <c:cat>
            <c:strRef>
              <c:f>'1. Total Tickets by Category'!$A$4:$A$11</c:f>
              <c:strCache>
                <c:ptCount val="8"/>
                <c:pt idx="0">
                  <c:v>Account / login</c:v>
                </c:pt>
                <c:pt idx="1">
                  <c:v>Billing</c:v>
                </c:pt>
                <c:pt idx="2">
                  <c:v>Device - battery</c:v>
                </c:pt>
                <c:pt idx="3">
                  <c:v>Device - pairing</c:v>
                </c:pt>
                <c:pt idx="4">
                  <c:v>Other</c:v>
                </c:pt>
                <c:pt idx="5">
                  <c:v>Returns / warranty</c:v>
                </c:pt>
                <c:pt idx="6">
                  <c:v>Sync</c:v>
                </c:pt>
                <c:pt idx="7">
                  <c:v>Transcription</c:v>
                </c:pt>
              </c:strCache>
            </c:strRef>
          </c:cat>
          <c:val>
            <c:numRef>
              <c:f>'1. Total Tickets by Category'!$B$4:$B$11</c:f>
              <c:numCache>
                <c:formatCode>General</c:formatCode>
                <c:ptCount val="8"/>
                <c:pt idx="0">
                  <c:v>23</c:v>
                </c:pt>
                <c:pt idx="1">
                  <c:v>21</c:v>
                </c:pt>
                <c:pt idx="2">
                  <c:v>39</c:v>
                </c:pt>
                <c:pt idx="3">
                  <c:v>51</c:v>
                </c:pt>
                <c:pt idx="4">
                  <c:v>16</c:v>
                </c:pt>
                <c:pt idx="5">
                  <c:v>21</c:v>
                </c:pt>
                <c:pt idx="6">
                  <c:v>29</c:v>
                </c:pt>
                <c:pt idx="7">
                  <c:v>39</c:v>
                </c:pt>
              </c:numCache>
            </c:numRef>
          </c:val>
          <c:extLst>
            <c:ext xmlns:c16="http://schemas.microsoft.com/office/drawing/2014/chart" uri="{C3380CC4-5D6E-409C-BE32-E72D297353CC}">
              <c16:uniqueId val="{00000000-1120-449D-BB37-8A586A88ACEF}"/>
            </c:ext>
          </c:extLst>
        </c:ser>
        <c:dLbls>
          <c:showLegendKey val="0"/>
          <c:showVal val="0"/>
          <c:showCatName val="0"/>
          <c:showSerName val="0"/>
          <c:showPercent val="0"/>
          <c:showBubbleSize val="0"/>
        </c:dLbls>
        <c:gapWidth val="182"/>
        <c:axId val="1553190448"/>
        <c:axId val="1553201968"/>
      </c:barChart>
      <c:catAx>
        <c:axId val="15531904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Ticket 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201968"/>
        <c:crosses val="autoZero"/>
        <c:auto val="1"/>
        <c:lblAlgn val="ctr"/>
        <c:lblOffset val="100"/>
        <c:noMultiLvlLbl val="0"/>
      </c:catAx>
      <c:valAx>
        <c:axId val="15532019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 of Tickets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190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 Thakor_ Customer Support Specialist _ Case Study Dashboard.xlsx]2. Tickets by Channel!Ticket by Channel</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Tickets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5573556430446195"/>
              <c:y val="8.17938903470399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145483377077866"/>
              <c:y val="-5.92002041411490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'2. Tickets by Channel'!$B$3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9D6B-4EFB-AF5E-976C3D9419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9D6B-4EFB-AF5E-976C3D941908}"/>
              </c:ext>
            </c:extLst>
          </c:dPt>
          <c:dLbls>
            <c:dLbl>
              <c:idx val="0"/>
              <c:layout>
                <c:manualLayout>
                  <c:x val="-0.13145483377077866"/>
                  <c:y val="-5.92002041411490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D6B-4EFB-AF5E-976C3D941908}"/>
                </c:ext>
              </c:extLst>
            </c:dLbl>
            <c:dLbl>
              <c:idx val="1"/>
              <c:layout>
                <c:manualLayout>
                  <c:x val="0.15573556430446195"/>
                  <c:y val="8.17938903470399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D6B-4EFB-AF5E-976C3D9419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extLst>
          </c:dLbls>
          <c:cat>
            <c:strRef>
              <c:f>'2. Tickets by Channel'!$A$4:$A$5</c:f>
              <c:strCache>
                <c:ptCount val="2"/>
                <c:pt idx="0">
                  <c:v>Chat</c:v>
                </c:pt>
                <c:pt idx="1">
                  <c:v>Email</c:v>
                </c:pt>
              </c:strCache>
            </c:strRef>
          </c:cat>
          <c:val>
            <c:numRef>
              <c:f>'2. Tickets by Channel'!$B$4:$B$5</c:f>
              <c:numCache>
                <c:formatCode>General</c:formatCode>
                <c:ptCount val="2"/>
                <c:pt idx="0">
                  <c:v>116</c:v>
                </c:pt>
                <c:pt idx="1">
                  <c:v>123</c:v>
                </c:pt>
              </c:numCache>
            </c:numRef>
          </c:val>
          <c:extLst>
            <c:ext xmlns:c16="http://schemas.microsoft.com/office/drawing/2014/chart" uri="{C3380CC4-5D6E-409C-BE32-E72D297353CC}">
              <c16:uniqueId val="{00000000-9D6B-4EFB-AF5E-976C3D941908}"/>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 Thakor_ Customer Support Specialist _ Case Study Dashboard.xlsx]3. Tickets by App Version!PivotTable7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Tickets by App Version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26493783246293395"/>
              <c:y val="-5.578849518810148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t>Version</a:t>
                </a:r>
                <a:r>
                  <a:rPr lang="en-US" baseline="0"/>
                  <a:t> </a:t>
                </a:r>
                <a:fld id="{DE34837C-5143-4E2A-B9C4-5BB5D5342129}" type="CATEGORYNAME">
                  <a:rPr lang="en-US"/>
                  <a:pPr>
                    <a:defRPr>
                      <a:solidFill>
                        <a:schemeClr val="bg1"/>
                      </a:solidFill>
                    </a:defRPr>
                  </a:pPr>
                  <a:t>[CATEGORY NAME]</a:t>
                </a:fld>
                <a:endParaRPr lang="en-US" baseline="0"/>
              </a:p>
              <a:p>
                <a:pPr>
                  <a:defRPr>
                    <a:solidFill>
                      <a:schemeClr val="bg1"/>
                    </a:solidFill>
                  </a:defRPr>
                </a:pPr>
                <a:r>
                  <a:rPr lang="en-US" baseline="0"/>
                  <a:t> </a:t>
                </a:r>
                <a:fld id="{4D60F540-21DF-4E3E-A035-D3E599C7DCEA}" type="VALUE">
                  <a:rPr lang="en-US" baseline="0"/>
                  <a:pPr>
                    <a:defRPr>
                      <a:solidFill>
                        <a:schemeClr val="bg1"/>
                      </a:solidFill>
                    </a:defRPr>
                  </a:pPr>
                  <a:t>[VALUE]</a:t>
                </a:fld>
                <a:r>
                  <a:rPr lang="en-US" baseline="0"/>
                  <a:t>, </a:t>
                </a:r>
                <a:fld id="{9D3ABC85-DE5F-4A11-A3DF-E99E4C633F7E}" type="PERCENTAGE">
                  <a:rPr lang="en-US" baseline="0"/>
                  <a:pPr>
                    <a:defRPr>
                      <a:solidFill>
                        <a:schemeClr val="bg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0.27260618603372738"/>
              <c:y val="5.639144065325167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solidFill>
                      <a:schemeClr val="bg1"/>
                    </a:solidFill>
                  </a:rPr>
                  <a:t>Version 3.1</a:t>
                </a:r>
                <a:endParaRPr lang="en-US" baseline="0">
                  <a:solidFill>
                    <a:schemeClr val="bg1"/>
                  </a:solidFill>
                </a:endParaRPr>
              </a:p>
              <a:p>
                <a:pPr>
                  <a:defRPr>
                    <a:solidFill>
                      <a:schemeClr val="bg1"/>
                    </a:solidFill>
                  </a:defRPr>
                </a:pPr>
                <a:r>
                  <a:rPr lang="en-US" baseline="0">
                    <a:solidFill>
                      <a:schemeClr val="bg1"/>
                    </a:solidFill>
                  </a:rPr>
                  <a:t> </a:t>
                </a:r>
                <a:fld id="{C570321A-776B-406F-B6D0-55A7F1234D41}" type="VALUE">
                  <a:rPr lang="en-US" baseline="0">
                    <a:solidFill>
                      <a:schemeClr val="bg1"/>
                    </a:solidFill>
                  </a:rPr>
                  <a:pPr>
                    <a:defRPr>
                      <a:solidFill>
                        <a:schemeClr val="bg1"/>
                      </a:solidFill>
                    </a:defRPr>
                  </a:pPr>
                  <a:t>[VALUE]</a:t>
                </a:fld>
                <a:r>
                  <a:rPr lang="en-US" baseline="0">
                    <a:solidFill>
                      <a:schemeClr val="bg1"/>
                    </a:solidFill>
                  </a:rPr>
                  <a:t>, </a:t>
                </a:r>
                <a:fld id="{314C97A6-03D9-436F-9C27-A763E7EBE58D}" type="PERCENTAGE">
                  <a:rPr lang="en-US" baseline="0">
                    <a:solidFill>
                      <a:schemeClr val="bg1"/>
                    </a:solidFill>
                  </a:rPr>
                  <a:pPr>
                    <a:defRPr>
                      <a:solidFill>
                        <a:schemeClr val="bg1"/>
                      </a:solidFill>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dLbl>
          <c:idx val="0"/>
          <c:layout>
            <c:manualLayout>
              <c:x val="-0.27260618603372738"/>
              <c:y val="5.639144065325167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r>
                  <a:rPr lang="en-US">
                    <a:solidFill>
                      <a:schemeClr val="bg1"/>
                    </a:solidFill>
                  </a:rPr>
                  <a:t>Version 3.1</a:t>
                </a:r>
                <a:endParaRPr lang="en-US" baseline="0">
                  <a:solidFill>
                    <a:schemeClr val="bg1"/>
                  </a:solidFill>
                </a:endParaRPr>
              </a:p>
              <a:p>
                <a:pPr>
                  <a:defRPr sz="900" b="0" i="0" u="none" strike="noStrike" kern="1200" baseline="0">
                    <a:solidFill>
                      <a:schemeClr val="bg1"/>
                    </a:solidFill>
                    <a:latin typeface="+mn-lt"/>
                    <a:ea typeface="+mn-ea"/>
                    <a:cs typeface="+mn-cs"/>
                  </a:defRPr>
                </a:pPr>
                <a:r>
                  <a:rPr lang="en-US" baseline="0">
                    <a:solidFill>
                      <a:schemeClr val="bg1"/>
                    </a:solidFill>
                  </a:rPr>
                  <a:t> </a:t>
                </a:r>
                <a:fld id="{C570321A-776B-406F-B6D0-55A7F1234D41}" type="VALUE">
                  <a:rPr lang="en-US" baseline="0">
                    <a:solidFill>
                      <a:schemeClr val="bg1"/>
                    </a:solidFill>
                  </a:rPr>
                  <a:pPr>
                    <a:defRPr sz="900" b="0" i="0" u="none" strike="noStrike" kern="1200" baseline="0">
                      <a:solidFill>
                        <a:schemeClr val="bg1"/>
                      </a:solidFill>
                      <a:latin typeface="+mn-lt"/>
                      <a:ea typeface="+mn-ea"/>
                      <a:cs typeface="+mn-cs"/>
                    </a:defRPr>
                  </a:pPr>
                  <a:t>[VALUE]</a:t>
                </a:fld>
                <a:r>
                  <a:rPr lang="en-US" baseline="0">
                    <a:solidFill>
                      <a:schemeClr val="bg1"/>
                    </a:solidFill>
                  </a:rPr>
                  <a:t>, </a:t>
                </a:r>
                <a:fld id="{314C97A6-03D9-436F-9C27-A763E7EBE58D}" type="PERCENTAGE">
                  <a:rPr lang="en-US" baseline="0">
                    <a:solidFill>
                      <a:schemeClr val="bg1"/>
                    </a:solidFill>
                  </a:rPr>
                  <a:pPr>
                    <a:defRPr sz="900" b="0" i="0" u="none" strike="noStrike" kern="1200" baseline="0">
                      <a:solidFill>
                        <a:schemeClr val="bg1"/>
                      </a:solidFill>
                      <a:latin typeface="+mn-lt"/>
                      <a:ea typeface="+mn-ea"/>
                      <a:cs typeface="+mn-cs"/>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'3. Tickets by App Version'!$B$3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FA0D-427C-87BC-D54BE22857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FA0D-427C-87BC-D54BE22857D9}"/>
              </c:ext>
            </c:extLst>
          </c:dPt>
          <c:dLbls>
            <c:dLbl>
              <c:idx val="0"/>
              <c:layout>
                <c:manualLayout>
                  <c:x val="-0.27260618603372738"/>
                  <c:y val="5.6391440653251676E-2"/>
                </c:manualLayout>
              </c:layout>
              <c:tx>
                <c:rich>
                  <a:bodyPr/>
                  <a:lstStyle/>
                  <a:p>
                    <a:r>
                      <a:rPr lang="en-US">
                        <a:solidFill>
                          <a:schemeClr val="bg1"/>
                        </a:solidFill>
                      </a:rPr>
                      <a:t>Version 3.1</a:t>
                    </a:r>
                    <a:endParaRPr lang="en-US" baseline="0">
                      <a:solidFill>
                        <a:schemeClr val="bg1"/>
                      </a:solidFill>
                    </a:endParaRPr>
                  </a:p>
                  <a:p>
                    <a:r>
                      <a:rPr lang="en-US" baseline="0">
                        <a:solidFill>
                          <a:schemeClr val="bg1"/>
                        </a:solidFill>
                      </a:rPr>
                      <a:t> </a:t>
                    </a:r>
                    <a:fld id="{C570321A-776B-406F-B6D0-55A7F1234D41}" type="VALUE">
                      <a:rPr lang="en-US" baseline="0">
                        <a:solidFill>
                          <a:schemeClr val="bg1"/>
                        </a:solidFill>
                      </a:rPr>
                      <a:pPr/>
                      <a:t>[VALUE]</a:t>
                    </a:fld>
                    <a:r>
                      <a:rPr lang="en-US" baseline="0">
                        <a:solidFill>
                          <a:schemeClr val="bg1"/>
                        </a:solidFill>
                      </a:rPr>
                      <a:t>, </a:t>
                    </a:r>
                    <a:fld id="{314C97A6-03D9-436F-9C27-A763E7EBE58D}" type="PERCENTAGE">
                      <a:rPr lang="en-US" baseline="0">
                        <a:solidFill>
                          <a:schemeClr val="bg1"/>
                        </a:solidFill>
                      </a:rPr>
                      <a:pPr/>
                      <a:t>[PERCENTAGE]</a:t>
                    </a:fld>
                    <a:endParaRPr lang="en-US" baseline="0">
                      <a:solidFill>
                        <a:schemeClr val="bg1"/>
                      </a:solidFill>
                    </a:endParaRPr>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A0D-427C-87BC-D54BE22857D9}"/>
                </c:ext>
              </c:extLst>
            </c:dLbl>
            <c:dLbl>
              <c:idx val="1"/>
              <c:layout>
                <c:manualLayout>
                  <c:x val="0.26493783246293395"/>
                  <c:y val="-5.5788495188101486E-2"/>
                </c:manualLayout>
              </c:layout>
              <c:tx>
                <c:rich>
                  <a:bodyPr/>
                  <a:lstStyle/>
                  <a:p>
                    <a:r>
                      <a:rPr lang="en-US"/>
                      <a:t>Version</a:t>
                    </a:r>
                    <a:r>
                      <a:rPr lang="en-US" baseline="0"/>
                      <a:t> </a:t>
                    </a:r>
                    <a:fld id="{DE34837C-5143-4E2A-B9C4-5BB5D5342129}" type="CATEGORYNAME">
                      <a:rPr lang="en-US"/>
                      <a:pPr/>
                      <a:t>[CATEGORY NAME]</a:t>
                    </a:fld>
                    <a:endParaRPr lang="en-US" baseline="0"/>
                  </a:p>
                  <a:p>
                    <a:r>
                      <a:rPr lang="en-US" baseline="0"/>
                      <a:t> </a:t>
                    </a:r>
                    <a:fld id="{4D60F540-21DF-4E3E-A035-D3E599C7DCEA}" type="VALUE">
                      <a:rPr lang="en-US" baseline="0"/>
                      <a:pPr/>
                      <a:t>[VALUE]</a:t>
                    </a:fld>
                    <a:r>
                      <a:rPr lang="en-US" baseline="0"/>
                      <a:t>, </a:t>
                    </a:r>
                    <a:fld id="{9D3ABC85-DE5F-4A11-A3DF-E99E4C633F7E}" type="PERCENTAGE">
                      <a:rPr lang="en-US" baseline="0"/>
                      <a:pPr/>
                      <a:t>[PERCENTAGE]</a:t>
                    </a:fld>
                    <a:endParaRPr lang="en-US" baseline="0"/>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FA0D-427C-87BC-D54BE22857D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'3. Tickets by App Version'!$A$4:$A$5</c:f>
              <c:strCache>
                <c:ptCount val="2"/>
                <c:pt idx="0">
                  <c:v>3.1</c:v>
                </c:pt>
                <c:pt idx="1">
                  <c:v>3.2</c:v>
                </c:pt>
              </c:strCache>
            </c:strRef>
          </c:cat>
          <c:val>
            <c:numRef>
              <c:f>'3. Tickets by App Version'!$B$4:$B$5</c:f>
              <c:numCache>
                <c:formatCode>General</c:formatCode>
                <c:ptCount val="2"/>
                <c:pt idx="0">
                  <c:v>128</c:v>
                </c:pt>
                <c:pt idx="1">
                  <c:v>111</c:v>
                </c:pt>
              </c:numCache>
            </c:numRef>
          </c:val>
          <c:extLst>
            <c:ext xmlns:c16="http://schemas.microsoft.com/office/drawing/2014/chart" uri="{C3380CC4-5D6E-409C-BE32-E72D297353CC}">
              <c16:uniqueId val="{00000000-FA0D-427C-87BC-D54BE22857D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 Thakor_ Customer Support Specialist _ Case Study Dashboard.xlsx]4. Tickets by OS!PivotTable1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Tickets by 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24218455277359993"/>
              <c:y val="-3.563065033537474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2094C009-28A5-4895-B9F3-44F15604E033}" type="CATEGORYNAME">
                  <a:rPr lang="en-US"/>
                  <a:pPr>
                    <a:defRPr>
                      <a:solidFill>
                        <a:schemeClr val="bg1"/>
                      </a:solidFill>
                    </a:defRPr>
                  </a:pPr>
                  <a:t>[CATEGORY NAME]</a:t>
                </a:fld>
                <a:endParaRPr lang="en-US" baseline="0"/>
              </a:p>
              <a:p>
                <a:pPr>
                  <a:defRPr>
                    <a:solidFill>
                      <a:schemeClr val="bg1"/>
                    </a:solidFill>
                  </a:defRPr>
                </a:pPr>
                <a:r>
                  <a:rPr lang="en-US" baseline="0"/>
                  <a:t> </a:t>
                </a:r>
                <a:fld id="{1F063596-3D10-48C9-BDF9-D108A55CA76D}" type="VALUE">
                  <a:rPr lang="en-US" baseline="0"/>
                  <a:pPr>
                    <a:defRPr>
                      <a:solidFill>
                        <a:schemeClr val="bg1"/>
                      </a:solidFill>
                    </a:defRPr>
                  </a:pPr>
                  <a:t>[VALUE]</a:t>
                </a:fld>
                <a:r>
                  <a:rPr lang="en-US" baseline="0"/>
                  <a:t>, </a:t>
                </a:r>
                <a:fld id="{9DE8BC0B-14D3-46F0-A3EF-D6A729A171A1}" type="PERCENTAGE">
                  <a:rPr lang="en-US" baseline="0"/>
                  <a:pPr>
                    <a:defRPr>
                      <a:solidFill>
                        <a:schemeClr val="bg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0.24018119083429179"/>
              <c:y val="4.433544765237678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0D780884-9840-454D-9C93-1F52B5C08244}" type="CATEGORYNAME">
                  <a:rPr lang="en-US"/>
                  <a:pPr>
                    <a:defRPr>
                      <a:solidFill>
                        <a:schemeClr val="bg1"/>
                      </a:solidFill>
                    </a:defRPr>
                  </a:pPr>
                  <a:t>[CATEGORY NAME]</a:t>
                </a:fld>
                <a:endParaRPr lang="en-US" baseline="0"/>
              </a:p>
              <a:p>
                <a:pPr>
                  <a:defRPr>
                    <a:solidFill>
                      <a:schemeClr val="bg1"/>
                    </a:solidFill>
                  </a:defRPr>
                </a:pPr>
                <a:r>
                  <a:rPr lang="en-US" baseline="0"/>
                  <a:t> </a:t>
                </a:r>
                <a:fld id="{887B7EE8-48E0-4FE5-8FBC-2E5E42B6D8C9}" type="VALUE">
                  <a:rPr lang="en-US" baseline="0"/>
                  <a:pPr>
                    <a:defRPr>
                      <a:solidFill>
                        <a:schemeClr val="bg1"/>
                      </a:solidFill>
                    </a:defRPr>
                  </a:pPr>
                  <a:t>[VALUE]</a:t>
                </a:fld>
                <a:r>
                  <a:rPr lang="en-US" baseline="0"/>
                  <a:t>, </a:t>
                </a:r>
                <a:fld id="{25C7BB5D-6241-4A55-A5CC-E719B84962CD}" type="PERCENTAGE">
                  <a:rPr lang="en-US" baseline="0"/>
                  <a:pPr>
                    <a:defRPr>
                      <a:solidFill>
                        <a:schemeClr val="bg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'4. Tickets by OS'!$B$3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7D33-4155-8052-91C77DB8DC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7D33-4155-8052-91C77DB8DCD5}"/>
              </c:ext>
            </c:extLst>
          </c:dPt>
          <c:dLbls>
            <c:dLbl>
              <c:idx val="0"/>
              <c:layout>
                <c:manualLayout>
                  <c:x val="-0.24018119083429179"/>
                  <c:y val="4.4335447652376785E-2"/>
                </c:manualLayout>
              </c:layout>
              <c:tx>
                <c:rich>
                  <a:bodyPr/>
                  <a:lstStyle/>
                  <a:p>
                    <a:fld id="{0D780884-9840-454D-9C93-1F52B5C08244}" type="CATEGORYNAME">
                      <a:rPr lang="en-US"/>
                      <a:pPr/>
                      <a:t>[CATEGORY NAME]</a:t>
                    </a:fld>
                    <a:endParaRPr lang="en-US" baseline="0"/>
                  </a:p>
                  <a:p>
                    <a:r>
                      <a:rPr lang="en-US" baseline="0"/>
                      <a:t> </a:t>
                    </a:r>
                    <a:fld id="{887B7EE8-48E0-4FE5-8FBC-2E5E42B6D8C9}" type="VALUE">
                      <a:rPr lang="en-US" baseline="0"/>
                      <a:pPr/>
                      <a:t>[VALUE]</a:t>
                    </a:fld>
                    <a:r>
                      <a:rPr lang="en-US" baseline="0"/>
                      <a:t>, </a:t>
                    </a:r>
                    <a:fld id="{25C7BB5D-6241-4A55-A5CC-E719B84962CD}" type="PERCENTAGE">
                      <a:rPr lang="en-US" baseline="0"/>
                      <a:pPr/>
                      <a:t>[PERCENTAGE]</a:t>
                    </a:fld>
                    <a:endParaRPr lang="en-US" baseline="0"/>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D33-4155-8052-91C77DB8DCD5}"/>
                </c:ext>
              </c:extLst>
            </c:dLbl>
            <c:dLbl>
              <c:idx val="1"/>
              <c:layout>
                <c:manualLayout>
                  <c:x val="0.24218455277359993"/>
                  <c:y val="-3.5630650335374742E-2"/>
                </c:manualLayout>
              </c:layout>
              <c:tx>
                <c:rich>
                  <a:bodyPr/>
                  <a:lstStyle/>
                  <a:p>
                    <a:fld id="{2094C009-28A5-4895-B9F3-44F15604E033}" type="CATEGORYNAME">
                      <a:rPr lang="en-US"/>
                      <a:pPr/>
                      <a:t>[CATEGORY NAME]</a:t>
                    </a:fld>
                    <a:endParaRPr lang="en-US" baseline="0"/>
                  </a:p>
                  <a:p>
                    <a:r>
                      <a:rPr lang="en-US" baseline="0"/>
                      <a:t> </a:t>
                    </a:r>
                    <a:fld id="{1F063596-3D10-48C9-BDF9-D108A55CA76D}" type="VALUE">
                      <a:rPr lang="en-US" baseline="0"/>
                      <a:pPr/>
                      <a:t>[VALUE]</a:t>
                    </a:fld>
                    <a:r>
                      <a:rPr lang="en-US" baseline="0"/>
                      <a:t>, </a:t>
                    </a:r>
                    <a:fld id="{9DE8BC0B-14D3-46F0-A3EF-D6A729A171A1}" type="PERCENTAGE">
                      <a:rPr lang="en-US" baseline="0"/>
                      <a:pPr/>
                      <a:t>[PERCENTAGE]</a:t>
                    </a:fld>
                    <a:endParaRPr lang="en-US" baseline="0"/>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7D33-4155-8052-91C77DB8DC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'4. Tickets by OS'!$A$4:$A$5</c:f>
              <c:strCache>
                <c:ptCount val="2"/>
                <c:pt idx="0">
                  <c:v>Android</c:v>
                </c:pt>
                <c:pt idx="1">
                  <c:v>iOS</c:v>
                </c:pt>
              </c:strCache>
            </c:strRef>
          </c:cat>
          <c:val>
            <c:numRef>
              <c:f>'4. Tickets by OS'!$B$4:$B$5</c:f>
              <c:numCache>
                <c:formatCode>General</c:formatCode>
                <c:ptCount val="2"/>
                <c:pt idx="0">
                  <c:v>127</c:v>
                </c:pt>
                <c:pt idx="1">
                  <c:v>112</c:v>
                </c:pt>
              </c:numCache>
            </c:numRef>
          </c:val>
          <c:extLst>
            <c:ext xmlns:c16="http://schemas.microsoft.com/office/drawing/2014/chart" uri="{C3380CC4-5D6E-409C-BE32-E72D297353CC}">
              <c16:uniqueId val="{00000000-7D33-4155-8052-91C77DB8DCD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 Thakor_ Customer Support Specialist _ Case Study Dashboard.xlsx]5. Customer Satisfaction!PivotTable2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'5. Customer Satisfaction'!$B$3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Customer Satisfaction'!$A$4:$A$7</c:f>
              <c:strCache>
                <c:ptCount val="4"/>
                <c:pt idx="0">
                  <c:v>Dissatisfied</c:v>
                </c:pt>
                <c:pt idx="1">
                  <c:v>Neutral</c:v>
                </c:pt>
                <c:pt idx="2">
                  <c:v>Not Rated</c:v>
                </c:pt>
                <c:pt idx="3">
                  <c:v>Satisfied</c:v>
                </c:pt>
              </c:strCache>
            </c:strRef>
          </c:cat>
          <c:val>
            <c:numRef>
              <c:f>'5. Customer Satisfaction'!$B$4:$B$7</c:f>
              <c:numCache>
                <c:formatCode>General</c:formatCode>
                <c:ptCount val="4"/>
                <c:pt idx="0">
                  <c:v>28</c:v>
                </c:pt>
                <c:pt idx="1">
                  <c:v>43</c:v>
                </c:pt>
                <c:pt idx="2">
                  <c:v>102</c:v>
                </c:pt>
                <c:pt idx="3">
                  <c:v>66</c:v>
                </c:pt>
              </c:numCache>
            </c:numRef>
          </c:val>
          <c:extLst>
            <c:ext xmlns:c16="http://schemas.microsoft.com/office/drawing/2014/chart" uri="{C3380CC4-5D6E-409C-BE32-E72D297353CC}">
              <c16:uniqueId val="{00000000-A972-4EBD-BF7F-27EEEFAAA8DC}"/>
            </c:ext>
          </c:extLst>
        </c:ser>
        <c:dLbls>
          <c:dLblPos val="outEnd"/>
          <c:showLegendKey val="0"/>
          <c:showVal val="1"/>
          <c:showCatName val="0"/>
          <c:showSerName val="0"/>
          <c:showPercent val="0"/>
          <c:showBubbleSize val="0"/>
        </c:dLbls>
        <c:gapWidth val="219"/>
        <c:overlap val="-27"/>
        <c:axId val="601827311"/>
        <c:axId val="601847951"/>
      </c:barChart>
      <c:catAx>
        <c:axId val="6018273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 Satisfaction</a:t>
                </a:r>
                <a:r>
                  <a:rPr lang="en-IN" baseline="0"/>
                  <a:t> Level</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847951"/>
        <c:crosses val="autoZero"/>
        <c:auto val="1"/>
        <c:lblAlgn val="ctr"/>
        <c:lblOffset val="100"/>
        <c:noMultiLvlLbl val="0"/>
      </c:catAx>
      <c:valAx>
        <c:axId val="6018479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Customers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82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 Thakor_ Customer Support Specialist _ Case Study Dashboard.xlsx]6. Customer Support Rating!PivotTable3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Support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23579913831525776"/>
              <c:y val="4.7364027413240015E-2"/>
            </c:manualLayout>
          </c:layout>
          <c:tx>
            <c:rich>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fld id="{6FFA49E5-57DB-4201-8655-5C5472EECD1A}" type="CATEGORYNAME">
                  <a:rPr lang="en-US" sz="1050"/>
                  <a:pPr>
                    <a:defRPr sz="1050">
                      <a:solidFill>
                        <a:schemeClr val="bg1"/>
                      </a:solidFill>
                    </a:defRPr>
                  </a:pPr>
                  <a:t>[CATEGORY NAME]</a:t>
                </a:fld>
                <a:endParaRPr lang="en-US" sz="1050" baseline="0"/>
              </a:p>
              <a:p>
                <a:pPr>
                  <a:defRPr sz="1050">
                    <a:solidFill>
                      <a:schemeClr val="bg1"/>
                    </a:solidFill>
                  </a:defRPr>
                </a:pPr>
                <a:r>
                  <a:rPr lang="en-US" sz="1050" baseline="0"/>
                  <a:t> </a:t>
                </a:r>
                <a:fld id="{DAE18C6C-6EC7-4383-8066-645D3168B0A7}" type="VALUE">
                  <a:rPr lang="en-US" sz="1050" baseline="0"/>
                  <a:pPr>
                    <a:defRPr sz="1050">
                      <a:solidFill>
                        <a:schemeClr val="bg1"/>
                      </a:solidFill>
                    </a:defRPr>
                  </a:pPr>
                  <a:t>[VALUE]</a:t>
                </a:fld>
                <a:r>
                  <a:rPr lang="en-US" sz="1050" baseline="0"/>
                  <a:t>, </a:t>
                </a:r>
                <a:fld id="{0E3F8830-8480-4F41-8AE4-5E1585A53F4B}" type="PERCENTAGE">
                  <a:rPr lang="en-US" sz="1050" baseline="0"/>
                  <a:pPr>
                    <a:defRPr sz="1050">
                      <a:solidFill>
                        <a:schemeClr val="bg1"/>
                      </a:solidFill>
                    </a:defRPr>
                  </a:pPr>
                  <a:t>[PERCENTAGE]</a:t>
                </a:fld>
                <a:endParaRPr lang="en-US" sz="1050" baseline="0"/>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0.24997444659040258"/>
              <c:y val="8.0070720326624982E-3"/>
            </c:manualLayout>
          </c:layout>
          <c:tx>
            <c:rich>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fld id="{15E6EB35-C30A-4EBE-8468-63F0F318CB79}" type="CATEGORYNAME">
                  <a:rPr lang="en-US" sz="1050"/>
                  <a:pPr>
                    <a:defRPr sz="1050">
                      <a:solidFill>
                        <a:schemeClr val="bg1"/>
                      </a:solidFill>
                    </a:defRPr>
                  </a:pPr>
                  <a:t>[CATEGORY NAME]</a:t>
                </a:fld>
                <a:endParaRPr lang="en-US" sz="1050" baseline="0"/>
              </a:p>
              <a:p>
                <a:pPr>
                  <a:defRPr sz="1050">
                    <a:solidFill>
                      <a:schemeClr val="bg1"/>
                    </a:solidFill>
                  </a:defRPr>
                </a:pPr>
                <a:r>
                  <a:rPr lang="en-US" sz="1050" baseline="0"/>
                  <a:t> </a:t>
                </a:r>
                <a:fld id="{D17CC1F7-7E18-4A55-B384-27E0F11C6060}" type="VALUE">
                  <a:rPr lang="en-US" sz="1050" baseline="0"/>
                  <a:pPr>
                    <a:defRPr sz="1050">
                      <a:solidFill>
                        <a:schemeClr val="bg1"/>
                      </a:solidFill>
                    </a:defRPr>
                  </a:pPr>
                  <a:t>[VALUE]</a:t>
                </a:fld>
                <a:r>
                  <a:rPr lang="en-US" sz="1050" baseline="0"/>
                  <a:t>, </a:t>
                </a:r>
                <a:fld id="{A209F885-04AD-4722-8366-68666524E52B}" type="PERCENTAGE">
                  <a:rPr lang="en-US" sz="1050" baseline="0"/>
                  <a:pPr>
                    <a:defRPr sz="1050">
                      <a:solidFill>
                        <a:schemeClr val="bg1"/>
                      </a:solidFill>
                    </a:defRPr>
                  </a:pPr>
                  <a:t>[PERCENTAGE]</a:t>
                </a:fld>
                <a:endParaRPr lang="en-US" sz="1050" baseline="0"/>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'6. Customer Support Rating'!$B$3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EDD4-4D82-B8BF-210665218D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D4-4D82-B8BF-210665218D05}"/>
              </c:ext>
            </c:extLst>
          </c:dPt>
          <c:dLbls>
            <c:dLbl>
              <c:idx val="0"/>
              <c:layout>
                <c:manualLayout>
                  <c:x val="-0.23579913831525776"/>
                  <c:y val="4.7364027413240015E-2"/>
                </c:manualLayout>
              </c:layout>
              <c:tx>
                <c:rich>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fld id="{6FFA49E5-57DB-4201-8655-5C5472EECD1A}" type="CATEGORYNAME">
                      <a:rPr lang="en-US" sz="1050"/>
                      <a:pPr>
                        <a:defRPr sz="1050">
                          <a:solidFill>
                            <a:schemeClr val="bg1"/>
                          </a:solidFill>
                        </a:defRPr>
                      </a:pPr>
                      <a:t>[CATEGORY NAME]</a:t>
                    </a:fld>
                    <a:endParaRPr lang="en-US" sz="1050" baseline="0"/>
                  </a:p>
                  <a:p>
                    <a:pPr>
                      <a:defRPr sz="1050">
                        <a:solidFill>
                          <a:schemeClr val="bg1"/>
                        </a:solidFill>
                      </a:defRPr>
                    </a:pPr>
                    <a:r>
                      <a:rPr lang="en-US" sz="1050" baseline="0"/>
                      <a:t> </a:t>
                    </a:r>
                    <a:fld id="{DAE18C6C-6EC7-4383-8066-645D3168B0A7}" type="VALUE">
                      <a:rPr lang="en-US" sz="1050" baseline="0"/>
                      <a:pPr>
                        <a:defRPr sz="1050">
                          <a:solidFill>
                            <a:schemeClr val="bg1"/>
                          </a:solidFill>
                        </a:defRPr>
                      </a:pPr>
                      <a:t>[VALUE]</a:t>
                    </a:fld>
                    <a:r>
                      <a:rPr lang="en-US" sz="1050" baseline="0"/>
                      <a:t>, </a:t>
                    </a:r>
                    <a:fld id="{0E3F8830-8480-4F41-8AE4-5E1585A53F4B}" type="PERCENTAGE">
                      <a:rPr lang="en-US" sz="1050" baseline="0"/>
                      <a:pPr>
                        <a:defRPr sz="1050">
                          <a:solidFill>
                            <a:schemeClr val="bg1"/>
                          </a:solidFill>
                        </a:defRPr>
                      </a:pPr>
                      <a:t>[PERCENTAGE]</a:t>
                    </a:fld>
                    <a:endParaRPr lang="en-US" sz="1050" baseline="0"/>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DD4-4D82-B8BF-210665218D05}"/>
                </c:ext>
              </c:extLst>
            </c:dLbl>
            <c:dLbl>
              <c:idx val="1"/>
              <c:layout>
                <c:manualLayout>
                  <c:x val="0.24997444659040258"/>
                  <c:y val="8.0070720326624982E-3"/>
                </c:manualLayout>
              </c:layout>
              <c:tx>
                <c:rich>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fld id="{15E6EB35-C30A-4EBE-8468-63F0F318CB79}" type="CATEGORYNAME">
                      <a:rPr lang="en-US" sz="1050"/>
                      <a:pPr>
                        <a:defRPr sz="1050">
                          <a:solidFill>
                            <a:schemeClr val="bg1"/>
                          </a:solidFill>
                        </a:defRPr>
                      </a:pPr>
                      <a:t>[CATEGORY NAME]</a:t>
                    </a:fld>
                    <a:endParaRPr lang="en-US" sz="1050" baseline="0"/>
                  </a:p>
                  <a:p>
                    <a:pPr>
                      <a:defRPr sz="1050">
                        <a:solidFill>
                          <a:schemeClr val="bg1"/>
                        </a:solidFill>
                      </a:defRPr>
                    </a:pPr>
                    <a:r>
                      <a:rPr lang="en-US" sz="1050" baseline="0"/>
                      <a:t> </a:t>
                    </a:r>
                    <a:fld id="{D17CC1F7-7E18-4A55-B384-27E0F11C6060}" type="VALUE">
                      <a:rPr lang="en-US" sz="1050" baseline="0"/>
                      <a:pPr>
                        <a:defRPr sz="1050">
                          <a:solidFill>
                            <a:schemeClr val="bg1"/>
                          </a:solidFill>
                        </a:defRPr>
                      </a:pPr>
                      <a:t>[VALUE]</a:t>
                    </a:fld>
                    <a:r>
                      <a:rPr lang="en-US" sz="1050" baseline="0"/>
                      <a:t>, </a:t>
                    </a:r>
                    <a:fld id="{A209F885-04AD-4722-8366-68666524E52B}" type="PERCENTAGE">
                      <a:rPr lang="en-US" sz="1050" baseline="0"/>
                      <a:pPr>
                        <a:defRPr sz="1050">
                          <a:solidFill>
                            <a:schemeClr val="bg1"/>
                          </a:solidFill>
                        </a:defRPr>
                      </a:pPr>
                      <a:t>[PERCENTAGE]</a:t>
                    </a:fld>
                    <a:endParaRPr lang="en-US" sz="1050" baseline="0"/>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DD4-4D82-B8BF-210665218D05}"/>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'6. Customer Support Rating'!$A$4:$A$5</c:f>
              <c:strCache>
                <c:ptCount val="2"/>
                <c:pt idx="0">
                  <c:v>Not Rated</c:v>
                </c:pt>
                <c:pt idx="1">
                  <c:v>Rated</c:v>
                </c:pt>
              </c:strCache>
            </c:strRef>
          </c:cat>
          <c:val>
            <c:numRef>
              <c:f>'6. Customer Support Rating'!$B$4:$B$5</c:f>
              <c:numCache>
                <c:formatCode>General</c:formatCode>
                <c:ptCount val="2"/>
                <c:pt idx="0">
                  <c:v>102</c:v>
                </c:pt>
                <c:pt idx="1">
                  <c:v>137</c:v>
                </c:pt>
              </c:numCache>
            </c:numRef>
          </c:val>
          <c:extLst>
            <c:ext xmlns:c16="http://schemas.microsoft.com/office/drawing/2014/chart" uri="{C3380CC4-5D6E-409C-BE32-E72D297353CC}">
              <c16:uniqueId val="{00000000-EDD4-4D82-B8BF-210665218D05}"/>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 Thakor_ Customer Support Specialist _ Case Study Dashboard.xlsx]7. Time taken to resolve ticket!PivotTable4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 taken to resolve</a:t>
            </a:r>
            <a:r>
              <a:rPr lang="en-US" baseline="0"/>
              <a:t> tickets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'7. Time taken to resolve ticket'!$B$3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'7. Time taken to resolve ticket'!$A$4:$A$6</c:f>
              <c:strCache>
                <c:ptCount val="3"/>
                <c:pt idx="0">
                  <c:v>1 Day</c:v>
                </c:pt>
                <c:pt idx="1">
                  <c:v>2 Days</c:v>
                </c:pt>
                <c:pt idx="2">
                  <c:v>More than 2 days</c:v>
                </c:pt>
              </c:strCache>
            </c:strRef>
          </c:cat>
          <c:val>
            <c:numRef>
              <c:f>'7. Time taken to resolve ticket'!$B$4:$B$6</c:f>
              <c:numCache>
                <c:formatCode>General</c:formatCode>
                <c:ptCount val="3"/>
                <c:pt idx="0">
                  <c:v>157</c:v>
                </c:pt>
                <c:pt idx="1">
                  <c:v>59</c:v>
                </c:pt>
                <c:pt idx="2">
                  <c:v>23</c:v>
                </c:pt>
              </c:numCache>
            </c:numRef>
          </c:val>
          <c:extLst>
            <c:ext xmlns:c16="http://schemas.microsoft.com/office/drawing/2014/chart" uri="{C3380CC4-5D6E-409C-BE32-E72D297353CC}">
              <c16:uniqueId val="{00000000-3515-4A6A-9BE7-B09F82C601CD}"/>
            </c:ext>
          </c:extLst>
        </c:ser>
        <c:dLbls>
          <c:dLblPos val="outEnd"/>
          <c:showLegendKey val="0"/>
          <c:showVal val="1"/>
          <c:showCatName val="0"/>
          <c:showSerName val="0"/>
          <c:showPercent val="0"/>
          <c:showBubbleSize val="0"/>
        </c:dLbls>
        <c:gapWidth val="219"/>
        <c:overlap val="-27"/>
        <c:axId val="601861871"/>
        <c:axId val="601862351"/>
      </c:barChart>
      <c:catAx>
        <c:axId val="601861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 of 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862351"/>
        <c:crosses val="autoZero"/>
        <c:auto val="1"/>
        <c:lblAlgn val="ctr"/>
        <c:lblOffset val="100"/>
        <c:noMultiLvlLbl val="0"/>
      </c:catAx>
      <c:valAx>
        <c:axId val="6018623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Tickets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86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 Thakor_ Customer Support Specialist _ Case Study Dashboard.xlsx]8. SLA for First Response!PivotTable6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SLA for</a:t>
            </a:r>
            <a:r>
              <a:rPr lang="en-IN" baseline="0"/>
              <a:t> F</a:t>
            </a:r>
            <a:r>
              <a:rPr lang="en-IN"/>
              <a:t>irst Response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2383125619231371"/>
              <c:y val="-0.1551665937591134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DDE5DC54-1548-47A1-83BA-0C2627F0A6D0}" type="CATEGORYNAME">
                  <a:rPr lang="en-US"/>
                  <a:pPr>
                    <a:defRPr>
                      <a:solidFill>
                        <a:schemeClr val="bg1"/>
                      </a:solidFill>
                    </a:defRPr>
                  </a:pPr>
                  <a:t>[CATEGORY NAME]</a:t>
                </a:fld>
                <a:endParaRPr lang="en-US" baseline="0"/>
              </a:p>
              <a:p>
                <a:pPr>
                  <a:defRPr>
                    <a:solidFill>
                      <a:schemeClr val="bg1"/>
                    </a:solidFill>
                  </a:defRPr>
                </a:pPr>
                <a:r>
                  <a:rPr lang="en-US" baseline="0"/>
                  <a:t> </a:t>
                </a:r>
                <a:fld id="{5422C6C2-0057-4038-B7EB-A7AE7B6D5355}" type="VALUE">
                  <a:rPr lang="en-US" baseline="0"/>
                  <a:pPr>
                    <a:defRPr>
                      <a:solidFill>
                        <a:schemeClr val="bg1"/>
                      </a:solidFill>
                    </a:defRPr>
                  </a:pPr>
                  <a:t>[VALUE]</a:t>
                </a:fld>
                <a:r>
                  <a:rPr lang="en-US" baseline="0"/>
                  <a:t>, </a:t>
                </a:r>
                <a:fld id="{A5361EF9-9BD4-45CA-9320-CF65BD02F230}" type="PERCENTAGE">
                  <a:rPr lang="en-US" baseline="0"/>
                  <a:pPr>
                    <a:defRPr>
                      <a:solidFill>
                        <a:schemeClr val="bg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0.22121951643461785"/>
              <c:y val="0.1559496208807232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2159D02F-967D-4005-A71E-1C1BA086BD7C}" type="CATEGORYNAME">
                  <a:rPr lang="en-US"/>
                  <a:pPr>
                    <a:defRPr>
                      <a:solidFill>
                        <a:schemeClr val="bg1"/>
                      </a:solidFill>
                    </a:defRPr>
                  </a:pPr>
                  <a:t>[CATEGORY NAME]</a:t>
                </a:fld>
                <a:endParaRPr lang="en-US" baseline="0"/>
              </a:p>
              <a:p>
                <a:pPr>
                  <a:defRPr>
                    <a:solidFill>
                      <a:schemeClr val="bg1"/>
                    </a:solidFill>
                  </a:defRPr>
                </a:pPr>
                <a:r>
                  <a:rPr lang="en-US" baseline="0"/>
                  <a:t> </a:t>
                </a:r>
                <a:fld id="{810054C1-3A56-490A-B340-BE3940BAD74A}" type="VALUE">
                  <a:rPr lang="en-US" baseline="0"/>
                  <a:pPr>
                    <a:defRPr>
                      <a:solidFill>
                        <a:schemeClr val="bg1"/>
                      </a:solidFill>
                    </a:defRPr>
                  </a:pPr>
                  <a:t>[VALUE]</a:t>
                </a:fld>
                <a:r>
                  <a:rPr lang="en-US" baseline="0"/>
                  <a:t>, </a:t>
                </a:r>
                <a:fld id="{B5A7DCEB-4A7F-4E47-9CE1-675921277491}" type="PERCENTAGE">
                  <a:rPr lang="en-US" baseline="0"/>
                  <a:pPr>
                    <a:defRPr>
                      <a:solidFill>
                        <a:schemeClr val="bg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'8. SLA for First Response'!$B$3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CCBD-42B4-A93C-EC66CA9C98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CCBD-42B4-A93C-EC66CA9C980D}"/>
              </c:ext>
            </c:extLst>
          </c:dPt>
          <c:dLbls>
            <c:dLbl>
              <c:idx val="0"/>
              <c:layout>
                <c:manualLayout>
                  <c:x val="-0.22121951643461785"/>
                  <c:y val="0.15594962088072326"/>
                </c:manualLayout>
              </c:layout>
              <c:tx>
                <c:rich>
                  <a:bodyPr/>
                  <a:lstStyle/>
                  <a:p>
                    <a:fld id="{2159D02F-967D-4005-A71E-1C1BA086BD7C}" type="CATEGORYNAME">
                      <a:rPr lang="en-US"/>
                      <a:pPr/>
                      <a:t>[CATEGORY NAME]</a:t>
                    </a:fld>
                    <a:endParaRPr lang="en-US" baseline="0"/>
                  </a:p>
                  <a:p>
                    <a:r>
                      <a:rPr lang="en-US" baseline="0"/>
                      <a:t> </a:t>
                    </a:r>
                    <a:fld id="{810054C1-3A56-490A-B340-BE3940BAD74A}" type="VALUE">
                      <a:rPr lang="en-US" baseline="0"/>
                      <a:pPr/>
                      <a:t>[VALUE]</a:t>
                    </a:fld>
                    <a:r>
                      <a:rPr lang="en-US" baseline="0"/>
                      <a:t>, </a:t>
                    </a:r>
                    <a:fld id="{B5A7DCEB-4A7F-4E47-9CE1-675921277491}" type="PERCENTAGE">
                      <a:rPr lang="en-US" baseline="0"/>
                      <a:pPr/>
                      <a:t>[PERCENTAGE]</a:t>
                    </a:fld>
                    <a:endParaRPr lang="en-US" baseline="0"/>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CBD-42B4-A93C-EC66CA9C980D}"/>
                </c:ext>
              </c:extLst>
            </c:dLbl>
            <c:dLbl>
              <c:idx val="1"/>
              <c:layout>
                <c:manualLayout>
                  <c:x val="0.2383125619231371"/>
                  <c:y val="-0.15516659375911343"/>
                </c:manualLayout>
              </c:layout>
              <c:tx>
                <c:rich>
                  <a:bodyPr/>
                  <a:lstStyle/>
                  <a:p>
                    <a:fld id="{DDE5DC54-1548-47A1-83BA-0C2627F0A6D0}" type="CATEGORYNAME">
                      <a:rPr lang="en-US"/>
                      <a:pPr/>
                      <a:t>[CATEGORY NAME]</a:t>
                    </a:fld>
                    <a:endParaRPr lang="en-US" baseline="0"/>
                  </a:p>
                  <a:p>
                    <a:r>
                      <a:rPr lang="en-US" baseline="0"/>
                      <a:t> </a:t>
                    </a:r>
                    <a:fld id="{5422C6C2-0057-4038-B7EB-A7AE7B6D5355}" type="VALUE">
                      <a:rPr lang="en-US" baseline="0"/>
                      <a:pPr/>
                      <a:t>[VALUE]</a:t>
                    </a:fld>
                    <a:r>
                      <a:rPr lang="en-US" baseline="0"/>
                      <a:t>, </a:t>
                    </a:r>
                    <a:fld id="{A5361EF9-9BD4-45CA-9320-CF65BD02F230}" type="PERCENTAGE">
                      <a:rPr lang="en-US" baseline="0"/>
                      <a:pPr/>
                      <a:t>[PERCENTAGE]</a:t>
                    </a:fld>
                    <a:endParaRPr lang="en-US" baseline="0"/>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CCBD-42B4-A93C-EC66CA9C980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'8. SLA for First Response'!$A$4:$A$5</c:f>
              <c:strCache>
                <c:ptCount val="2"/>
                <c:pt idx="0">
                  <c:v>Failed to meet SLA</c:v>
                </c:pt>
                <c:pt idx="1">
                  <c:v>SLA met</c:v>
                </c:pt>
              </c:strCache>
            </c:strRef>
          </c:cat>
          <c:val>
            <c:numRef>
              <c:f>'8. SLA for First Response'!$B$4:$B$5</c:f>
              <c:numCache>
                <c:formatCode>General</c:formatCode>
                <c:ptCount val="2"/>
                <c:pt idx="0">
                  <c:v>67</c:v>
                </c:pt>
                <c:pt idx="1">
                  <c:v>172</c:v>
                </c:pt>
              </c:numCache>
            </c:numRef>
          </c:val>
          <c:extLst>
            <c:ext xmlns:c16="http://schemas.microsoft.com/office/drawing/2014/chart" uri="{C3380CC4-5D6E-409C-BE32-E72D297353CC}">
              <c16:uniqueId val="{00000000-CCBD-42B4-A93C-EC66CA9C980D}"/>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5</xdr:col>
      <xdr:colOff>569485</xdr:colOff>
      <xdr:row>1</xdr:row>
      <xdr:rowOff>164294</xdr:rowOff>
    </xdr:from>
    <xdr:to>
      <xdr:col>14</xdr:col>
      <xdr:colOff>45358</xdr:colOff>
      <xdr:row>17</xdr:row>
      <xdr:rowOff>181428</xdr:rowOff>
    </xdr:to>
    <xdr:graphicFrame macro="">
      <xdr:nvGraphicFramePr>
        <xdr:cNvPr id="11" name="Tickets by Category">
          <a:extLst>
            <a:ext uri="{FF2B5EF4-FFF2-40B4-BE49-F238E27FC236}">
              <a16:creationId xmlns:a16="http://schemas.microsoft.com/office/drawing/2014/main" id="{8A9D7323-46BA-4DB5-82B9-6BF352049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201587</xdr:colOff>
      <xdr:row>1</xdr:row>
      <xdr:rowOff>146152</xdr:rowOff>
    </xdr:from>
    <xdr:to>
      <xdr:col>18</xdr:col>
      <xdr:colOff>503969</xdr:colOff>
      <xdr:row>17</xdr:row>
      <xdr:rowOff>154215</xdr:rowOff>
    </xdr:to>
    <xdr:graphicFrame macro="">
      <xdr:nvGraphicFramePr>
        <xdr:cNvPr id="12" name="Tickets by Channel">
          <a:extLst>
            <a:ext uri="{FF2B5EF4-FFF2-40B4-BE49-F238E27FC236}">
              <a16:creationId xmlns:a16="http://schemas.microsoft.com/office/drawing/2014/main" id="{D147EDD9-7EF1-483C-A5D7-6DA227D87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323546</xdr:colOff>
      <xdr:row>18</xdr:row>
      <xdr:rowOff>96763</xdr:rowOff>
    </xdr:from>
    <xdr:to>
      <xdr:col>10</xdr:col>
      <xdr:colOff>91722</xdr:colOff>
      <xdr:row>32</xdr:row>
      <xdr:rowOff>163287</xdr:rowOff>
    </xdr:to>
    <xdr:graphicFrame macro="">
      <xdr:nvGraphicFramePr>
        <xdr:cNvPr id="13" name="Ticket by App Version">
          <a:extLst>
            <a:ext uri="{FF2B5EF4-FFF2-40B4-BE49-F238E27FC236}">
              <a16:creationId xmlns:a16="http://schemas.microsoft.com/office/drawing/2014/main" id="{C1B823C5-F931-432B-8FEF-39BA070635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222754</xdr:colOff>
      <xdr:row>18</xdr:row>
      <xdr:rowOff>106842</xdr:rowOff>
    </xdr:from>
    <xdr:to>
      <xdr:col>5</xdr:col>
      <xdr:colOff>132039</xdr:colOff>
      <xdr:row>33</xdr:row>
      <xdr:rowOff>0</xdr:rowOff>
    </xdr:to>
    <xdr:graphicFrame macro="">
      <xdr:nvGraphicFramePr>
        <xdr:cNvPr id="2" name="Tickets by OS">
          <a:extLst>
            <a:ext uri="{FF2B5EF4-FFF2-40B4-BE49-F238E27FC236}">
              <a16:creationId xmlns:a16="http://schemas.microsoft.com/office/drawing/2014/main" id="{BF03D8C0-BF29-4599-AB27-A8F26A3DDA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284236</xdr:colOff>
      <xdr:row>18</xdr:row>
      <xdr:rowOff>110872</xdr:rowOff>
    </xdr:from>
    <xdr:to>
      <xdr:col>18</xdr:col>
      <xdr:colOff>380998</xdr:colOff>
      <xdr:row>33</xdr:row>
      <xdr:rowOff>18143</xdr:rowOff>
    </xdr:to>
    <xdr:graphicFrame macro="">
      <xdr:nvGraphicFramePr>
        <xdr:cNvPr id="3" name="Customer Satisfaction">
          <a:extLst>
            <a:ext uri="{FF2B5EF4-FFF2-40B4-BE49-F238E27FC236}">
              <a16:creationId xmlns:a16="http://schemas.microsoft.com/office/drawing/2014/main" id="{115C744C-2BC2-4588-9205-70413873A5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598715</xdr:colOff>
      <xdr:row>18</xdr:row>
      <xdr:rowOff>101801</xdr:rowOff>
    </xdr:from>
    <xdr:to>
      <xdr:col>23</xdr:col>
      <xdr:colOff>435429</xdr:colOff>
      <xdr:row>33</xdr:row>
      <xdr:rowOff>0</xdr:rowOff>
    </xdr:to>
    <xdr:graphicFrame macro="">
      <xdr:nvGraphicFramePr>
        <xdr:cNvPr id="4" name="Customer Support Rating">
          <a:extLst>
            <a:ext uri="{FF2B5EF4-FFF2-40B4-BE49-F238E27FC236}">
              <a16:creationId xmlns:a16="http://schemas.microsoft.com/office/drawing/2014/main" id="{9E3D93E5-FF01-48F7-9C1E-855D5F9E6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191509</xdr:colOff>
      <xdr:row>1</xdr:row>
      <xdr:rowOff>151190</xdr:rowOff>
    </xdr:from>
    <xdr:to>
      <xdr:col>5</xdr:col>
      <xdr:colOff>417285</xdr:colOff>
      <xdr:row>17</xdr:row>
      <xdr:rowOff>163286</xdr:rowOff>
    </xdr:to>
    <xdr:graphicFrame macro="">
      <xdr:nvGraphicFramePr>
        <xdr:cNvPr id="5" name="Time Taken to resolve tickets">
          <a:extLst>
            <a:ext uri="{FF2B5EF4-FFF2-40B4-BE49-F238E27FC236}">
              <a16:creationId xmlns:a16="http://schemas.microsoft.com/office/drawing/2014/main" id="{F9ADEADA-4F24-4BFE-8B33-9275CBECA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71563</xdr:colOff>
      <xdr:row>1</xdr:row>
      <xdr:rowOff>146148</xdr:rowOff>
    </xdr:from>
    <xdr:to>
      <xdr:col>23</xdr:col>
      <xdr:colOff>424342</xdr:colOff>
      <xdr:row>17</xdr:row>
      <xdr:rowOff>117928</xdr:rowOff>
    </xdr:to>
    <xdr:graphicFrame macro="">
      <xdr:nvGraphicFramePr>
        <xdr:cNvPr id="6" name="SLA for First Response">
          <a:extLst>
            <a:ext uri="{FF2B5EF4-FFF2-40B4-BE49-F238E27FC236}">
              <a16:creationId xmlns:a16="http://schemas.microsoft.com/office/drawing/2014/main" id="{65121B95-C02D-4631-913A-A0BF5B502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23</xdr:col>
      <xdr:colOff>580572</xdr:colOff>
      <xdr:row>1</xdr:row>
      <xdr:rowOff>154216</xdr:rowOff>
    </xdr:from>
    <xdr:to>
      <xdr:col>27</xdr:col>
      <xdr:colOff>362857</xdr:colOff>
      <xdr:row>16</xdr:row>
      <xdr:rowOff>36285</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315F4B31-35F2-4232-B3EB-C7C2888EFE5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4559643" y="453573"/>
              <a:ext cx="2213428" cy="26034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571498</xdr:colOff>
      <xdr:row>16</xdr:row>
      <xdr:rowOff>145140</xdr:rowOff>
    </xdr:from>
    <xdr:to>
      <xdr:col>25</xdr:col>
      <xdr:colOff>371927</xdr:colOff>
      <xdr:row>27</xdr:row>
      <xdr:rowOff>145141</xdr:rowOff>
    </xdr:to>
    <mc:AlternateContent xmlns:mc="http://schemas.openxmlformats.org/markup-compatibility/2006" xmlns:a14="http://schemas.microsoft.com/office/drawing/2010/main">
      <mc:Choice Requires="a14">
        <xdr:graphicFrame macro="">
          <xdr:nvGraphicFramePr>
            <xdr:cNvPr id="9" name="csat 1">
              <a:extLst>
                <a:ext uri="{FF2B5EF4-FFF2-40B4-BE49-F238E27FC236}">
                  <a16:creationId xmlns:a16="http://schemas.microsoft.com/office/drawing/2014/main" id="{DBBF83EC-B764-4442-8A18-7DBD37688717}"/>
                </a:ext>
              </a:extLst>
            </xdr:cNvPr>
            <xdr:cNvGraphicFramePr/>
          </xdr:nvGraphicFramePr>
          <xdr:xfrm>
            <a:off x="0" y="0"/>
            <a:ext cx="0" cy="0"/>
          </xdr:xfrm>
          <a:graphic>
            <a:graphicData uri="http://schemas.microsoft.com/office/drawing/2010/slicer">
              <sle:slicer xmlns:sle="http://schemas.microsoft.com/office/drawing/2010/slicer" name="csat 1"/>
            </a:graphicData>
          </a:graphic>
        </xdr:graphicFrame>
      </mc:Choice>
      <mc:Fallback xmlns="">
        <xdr:sp macro="" textlink="">
          <xdr:nvSpPr>
            <xdr:cNvPr id="0" name=""/>
            <xdr:cNvSpPr>
              <a:spLocks noTextEdit="1"/>
            </xdr:cNvSpPr>
          </xdr:nvSpPr>
          <xdr:spPr>
            <a:xfrm>
              <a:off x="14550569" y="3165926"/>
              <a:ext cx="1016001" cy="1995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471711</xdr:colOff>
      <xdr:row>16</xdr:row>
      <xdr:rowOff>99784</xdr:rowOff>
    </xdr:from>
    <xdr:to>
      <xdr:col>27</xdr:col>
      <xdr:colOff>371927</xdr:colOff>
      <xdr:row>23</xdr:row>
      <xdr:rowOff>27213</xdr:rowOff>
    </xdr:to>
    <mc:AlternateContent xmlns:mc="http://schemas.openxmlformats.org/markup-compatibility/2006" xmlns:a14="http://schemas.microsoft.com/office/drawing/2010/main">
      <mc:Choice Requires="a14">
        <xdr:graphicFrame macro="">
          <xdr:nvGraphicFramePr>
            <xdr:cNvPr id="10" name="Month 1">
              <a:extLst>
                <a:ext uri="{FF2B5EF4-FFF2-40B4-BE49-F238E27FC236}">
                  <a16:creationId xmlns:a16="http://schemas.microsoft.com/office/drawing/2014/main" id="{6356A40A-4D8B-4F93-BF7F-99F774B22D3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5666354" y="3120570"/>
              <a:ext cx="1115787" cy="11974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444501</xdr:colOff>
      <xdr:row>23</xdr:row>
      <xdr:rowOff>81644</xdr:rowOff>
    </xdr:from>
    <xdr:to>
      <xdr:col>27</xdr:col>
      <xdr:colOff>399144</xdr:colOff>
      <xdr:row>28</xdr:row>
      <xdr:rowOff>90714</xdr:rowOff>
    </xdr:to>
    <mc:AlternateContent xmlns:mc="http://schemas.openxmlformats.org/markup-compatibility/2006" xmlns:a14="http://schemas.microsoft.com/office/drawing/2010/main">
      <mc:Choice Requires="a14">
        <xdr:graphicFrame macro="">
          <xdr:nvGraphicFramePr>
            <xdr:cNvPr id="14" name="channel 1">
              <a:extLst>
                <a:ext uri="{FF2B5EF4-FFF2-40B4-BE49-F238E27FC236}">
                  <a16:creationId xmlns:a16="http://schemas.microsoft.com/office/drawing/2014/main" id="{DBDB6174-DFDD-4564-ABCF-E8C0C7719CEB}"/>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15639144" y="4372430"/>
              <a:ext cx="1170214" cy="916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580572</xdr:colOff>
      <xdr:row>28</xdr:row>
      <xdr:rowOff>63500</xdr:rowOff>
    </xdr:from>
    <xdr:to>
      <xdr:col>25</xdr:col>
      <xdr:colOff>344713</xdr:colOff>
      <xdr:row>33</xdr:row>
      <xdr:rowOff>108858</xdr:rowOff>
    </xdr:to>
    <mc:AlternateContent xmlns:mc="http://schemas.openxmlformats.org/markup-compatibility/2006" xmlns:a14="http://schemas.microsoft.com/office/drawing/2010/main">
      <mc:Choice Requires="a14">
        <xdr:graphicFrame macro="">
          <xdr:nvGraphicFramePr>
            <xdr:cNvPr id="15" name="os 1">
              <a:extLst>
                <a:ext uri="{FF2B5EF4-FFF2-40B4-BE49-F238E27FC236}">
                  <a16:creationId xmlns:a16="http://schemas.microsoft.com/office/drawing/2014/main" id="{DB655427-77D4-4966-B8B9-976A295AD7BC}"/>
                </a:ext>
              </a:extLst>
            </xdr:cNvPr>
            <xdr:cNvGraphicFramePr/>
          </xdr:nvGraphicFramePr>
          <xdr:xfrm>
            <a:off x="0" y="0"/>
            <a:ext cx="0" cy="0"/>
          </xdr:xfrm>
          <a:graphic>
            <a:graphicData uri="http://schemas.microsoft.com/office/drawing/2010/slicer">
              <sle:slicer xmlns:sle="http://schemas.microsoft.com/office/drawing/2010/slicer" name="os 1"/>
            </a:graphicData>
          </a:graphic>
        </xdr:graphicFrame>
      </mc:Choice>
      <mc:Fallback xmlns="">
        <xdr:sp macro="" textlink="">
          <xdr:nvSpPr>
            <xdr:cNvPr id="0" name=""/>
            <xdr:cNvSpPr>
              <a:spLocks noTextEdit="1"/>
            </xdr:cNvSpPr>
          </xdr:nvSpPr>
          <xdr:spPr>
            <a:xfrm>
              <a:off x="14559643" y="5261429"/>
              <a:ext cx="979713"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444500</xdr:colOff>
      <xdr:row>28</xdr:row>
      <xdr:rowOff>136069</xdr:rowOff>
    </xdr:from>
    <xdr:to>
      <xdr:col>27</xdr:col>
      <xdr:colOff>390979</xdr:colOff>
      <xdr:row>33</xdr:row>
      <xdr:rowOff>136072</xdr:rowOff>
    </xdr:to>
    <mc:AlternateContent xmlns:mc="http://schemas.openxmlformats.org/markup-compatibility/2006" xmlns:a14="http://schemas.microsoft.com/office/drawing/2010/main">
      <mc:Choice Requires="a14">
        <xdr:graphicFrame macro="">
          <xdr:nvGraphicFramePr>
            <xdr:cNvPr id="16" name="app_version 1">
              <a:extLst>
                <a:ext uri="{FF2B5EF4-FFF2-40B4-BE49-F238E27FC236}">
                  <a16:creationId xmlns:a16="http://schemas.microsoft.com/office/drawing/2014/main" id="{89944FA2-96C7-40EA-BD42-7D0D959EEECA}"/>
                </a:ext>
              </a:extLst>
            </xdr:cNvPr>
            <xdr:cNvGraphicFramePr/>
          </xdr:nvGraphicFramePr>
          <xdr:xfrm>
            <a:off x="0" y="0"/>
            <a:ext cx="0" cy="0"/>
          </xdr:xfrm>
          <a:graphic>
            <a:graphicData uri="http://schemas.microsoft.com/office/drawing/2010/slicer">
              <sle:slicer xmlns:sle="http://schemas.microsoft.com/office/drawing/2010/slicer" name="app_version 1"/>
            </a:graphicData>
          </a:graphic>
        </xdr:graphicFrame>
      </mc:Choice>
      <mc:Fallback xmlns="">
        <xdr:sp macro="" textlink="">
          <xdr:nvSpPr>
            <xdr:cNvPr id="0" name=""/>
            <xdr:cNvSpPr>
              <a:spLocks noTextEdit="1"/>
            </xdr:cNvSpPr>
          </xdr:nvSpPr>
          <xdr:spPr>
            <a:xfrm>
              <a:off x="15639143" y="5333998"/>
              <a:ext cx="1162050" cy="9071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584200</xdr:colOff>
      <xdr:row>2</xdr:row>
      <xdr:rowOff>155575</xdr:rowOff>
    </xdr:from>
    <xdr:to>
      <xdr:col>10</xdr:col>
      <xdr:colOff>279400</xdr:colOff>
      <xdr:row>17</xdr:row>
      <xdr:rowOff>136525</xdr:rowOff>
    </xdr:to>
    <xdr:graphicFrame macro="">
      <xdr:nvGraphicFramePr>
        <xdr:cNvPr id="2" name="Tickets by Category">
          <a:extLst>
            <a:ext uri="{FF2B5EF4-FFF2-40B4-BE49-F238E27FC236}">
              <a16:creationId xmlns:a16="http://schemas.microsoft.com/office/drawing/2014/main" id="{2978B47A-3288-7DFE-C8E0-CF30225246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412750</xdr:colOff>
      <xdr:row>2</xdr:row>
      <xdr:rowOff>95250</xdr:rowOff>
    </xdr:from>
    <xdr:to>
      <xdr:col>13</xdr:col>
      <xdr:colOff>412750</xdr:colOff>
      <xdr:row>16</xdr:row>
      <xdr:rowOff>41275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BD0F6A36-228D-B2E1-1C5F-0FFEDF030DE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562850" y="463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234950</xdr:colOff>
      <xdr:row>3</xdr:row>
      <xdr:rowOff>1</xdr:rowOff>
    </xdr:from>
    <xdr:to>
      <xdr:col>17</xdr:col>
      <xdr:colOff>234950</xdr:colOff>
      <xdr:row>13</xdr:row>
      <xdr:rowOff>133351</xdr:rowOff>
    </xdr:to>
    <mc:AlternateContent xmlns:mc="http://schemas.openxmlformats.org/markup-compatibility/2006" xmlns:a14="http://schemas.microsoft.com/office/drawing/2010/main">
      <mc:Choice Requires="a14">
        <xdr:graphicFrame macro="">
          <xdr:nvGraphicFramePr>
            <xdr:cNvPr id="4" name="csat">
              <a:extLst>
                <a:ext uri="{FF2B5EF4-FFF2-40B4-BE49-F238E27FC236}">
                  <a16:creationId xmlns:a16="http://schemas.microsoft.com/office/drawing/2014/main" id="{D825EFB8-AF10-2DE8-467D-A269E04E6551}"/>
                </a:ext>
              </a:extLst>
            </xdr:cNvPr>
            <xdr:cNvGraphicFramePr/>
          </xdr:nvGraphicFramePr>
          <xdr:xfrm>
            <a:off x="0" y="0"/>
            <a:ext cx="0" cy="0"/>
          </xdr:xfrm>
          <a:graphic>
            <a:graphicData uri="http://schemas.microsoft.com/office/drawing/2010/slicer">
              <sle:slicer xmlns:sle="http://schemas.microsoft.com/office/drawing/2010/slicer" name="csat"/>
            </a:graphicData>
          </a:graphic>
        </xdr:graphicFrame>
      </mc:Choice>
      <mc:Fallback xmlns="">
        <xdr:sp macro="" textlink="">
          <xdr:nvSpPr>
            <xdr:cNvPr id="0" name=""/>
            <xdr:cNvSpPr>
              <a:spLocks noTextEdit="1"/>
            </xdr:cNvSpPr>
          </xdr:nvSpPr>
          <xdr:spPr>
            <a:xfrm>
              <a:off x="9823450" y="552451"/>
              <a:ext cx="1828800" cy="1974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400050</xdr:colOff>
      <xdr:row>15</xdr:row>
      <xdr:rowOff>69850</xdr:rowOff>
    </xdr:from>
    <xdr:to>
      <xdr:col>15</xdr:col>
      <xdr:colOff>381000</xdr:colOff>
      <xdr:row>21</xdr:row>
      <xdr:rowOff>171449</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109AAC7D-907B-D315-1365-913300F7DD4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378950" y="2832100"/>
              <a:ext cx="1200150" cy="1206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279400</xdr:colOff>
      <xdr:row>18</xdr:row>
      <xdr:rowOff>31751</xdr:rowOff>
    </xdr:from>
    <xdr:to>
      <xdr:col>7</xdr:col>
      <xdr:colOff>323850</xdr:colOff>
      <xdr:row>23</xdr:row>
      <xdr:rowOff>12701</xdr:rowOff>
    </xdr:to>
    <mc:AlternateContent xmlns:mc="http://schemas.openxmlformats.org/markup-compatibility/2006" xmlns:a14="http://schemas.microsoft.com/office/drawing/2010/main">
      <mc:Choice Requires="a14">
        <xdr:graphicFrame macro="">
          <xdr:nvGraphicFramePr>
            <xdr:cNvPr id="6" name="channel">
              <a:extLst>
                <a:ext uri="{FF2B5EF4-FFF2-40B4-BE49-F238E27FC236}">
                  <a16:creationId xmlns:a16="http://schemas.microsoft.com/office/drawing/2014/main" id="{9B550EFA-08FF-870D-6E40-2D03C212B86A}"/>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4381500" y="3346451"/>
              <a:ext cx="1263650" cy="901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254000</xdr:colOff>
      <xdr:row>1</xdr:row>
      <xdr:rowOff>95251</xdr:rowOff>
    </xdr:from>
    <xdr:to>
      <xdr:col>5</xdr:col>
      <xdr:colOff>196850</xdr:colOff>
      <xdr:row>6</xdr:row>
      <xdr:rowOff>107951</xdr:rowOff>
    </xdr:to>
    <mc:AlternateContent xmlns:mc="http://schemas.openxmlformats.org/markup-compatibility/2006" xmlns:a14="http://schemas.microsoft.com/office/drawing/2010/main">
      <mc:Choice Requires="a14">
        <xdr:graphicFrame macro="">
          <xdr:nvGraphicFramePr>
            <xdr:cNvPr id="7" name="app_version">
              <a:extLst>
                <a:ext uri="{FF2B5EF4-FFF2-40B4-BE49-F238E27FC236}">
                  <a16:creationId xmlns:a16="http://schemas.microsoft.com/office/drawing/2014/main" id="{9CD8DCE5-AAF3-5B51-0A1F-60754C2B3AA4}"/>
                </a:ext>
              </a:extLst>
            </xdr:cNvPr>
            <xdr:cNvGraphicFramePr/>
          </xdr:nvGraphicFramePr>
          <xdr:xfrm>
            <a:off x="0" y="0"/>
            <a:ext cx="0" cy="0"/>
          </xdr:xfrm>
          <a:graphic>
            <a:graphicData uri="http://schemas.microsoft.com/office/drawing/2010/slicer">
              <sle:slicer xmlns:sle="http://schemas.microsoft.com/office/drawing/2010/slicer" name="app_version"/>
            </a:graphicData>
          </a:graphic>
        </xdr:graphicFrame>
      </mc:Choice>
      <mc:Fallback xmlns="">
        <xdr:sp macro="" textlink="">
          <xdr:nvSpPr>
            <xdr:cNvPr id="0" name=""/>
            <xdr:cNvSpPr>
              <a:spLocks noTextEdit="1"/>
            </xdr:cNvSpPr>
          </xdr:nvSpPr>
          <xdr:spPr>
            <a:xfrm>
              <a:off x="3136900" y="279401"/>
              <a:ext cx="1162050" cy="933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215900</xdr:colOff>
      <xdr:row>13</xdr:row>
      <xdr:rowOff>50800</xdr:rowOff>
    </xdr:from>
    <xdr:to>
      <xdr:col>0</xdr:col>
      <xdr:colOff>1085850</xdr:colOff>
      <xdr:row>18</xdr:row>
      <xdr:rowOff>82550</xdr:rowOff>
    </xdr:to>
    <mc:AlternateContent xmlns:mc="http://schemas.openxmlformats.org/markup-compatibility/2006" xmlns:a14="http://schemas.microsoft.com/office/drawing/2010/main">
      <mc:Choice Requires="a14">
        <xdr:graphicFrame macro="">
          <xdr:nvGraphicFramePr>
            <xdr:cNvPr id="8" name="os">
              <a:extLst>
                <a:ext uri="{FF2B5EF4-FFF2-40B4-BE49-F238E27FC236}">
                  <a16:creationId xmlns:a16="http://schemas.microsoft.com/office/drawing/2014/main" id="{15B45055-361F-E0A9-9236-B8D1B87A20C3}"/>
                </a:ext>
              </a:extLst>
            </xdr:cNvPr>
            <xdr:cNvGraphicFramePr/>
          </xdr:nvGraphicFramePr>
          <xdr:xfrm>
            <a:off x="0" y="0"/>
            <a:ext cx="0" cy="0"/>
          </xdr:xfrm>
          <a:graphic>
            <a:graphicData uri="http://schemas.microsoft.com/office/drawing/2010/slicer">
              <sle:slicer xmlns:sle="http://schemas.microsoft.com/office/drawing/2010/slicer" name="os"/>
            </a:graphicData>
          </a:graphic>
        </xdr:graphicFrame>
      </mc:Choice>
      <mc:Fallback xmlns="">
        <xdr:sp macro="" textlink="">
          <xdr:nvSpPr>
            <xdr:cNvPr id="0" name=""/>
            <xdr:cNvSpPr>
              <a:spLocks noTextEdit="1"/>
            </xdr:cNvSpPr>
          </xdr:nvSpPr>
          <xdr:spPr>
            <a:xfrm>
              <a:off x="215900" y="2444750"/>
              <a:ext cx="86995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12700</xdr:colOff>
      <xdr:row>2</xdr:row>
      <xdr:rowOff>22225</xdr:rowOff>
    </xdr:from>
    <xdr:to>
      <xdr:col>8</xdr:col>
      <xdr:colOff>184150</xdr:colOff>
      <xdr:row>17</xdr:row>
      <xdr:rowOff>3175</xdr:rowOff>
    </xdr:to>
    <xdr:graphicFrame macro="">
      <xdr:nvGraphicFramePr>
        <xdr:cNvPr id="2" name="Tickets by Channel">
          <a:extLst>
            <a:ext uri="{FF2B5EF4-FFF2-40B4-BE49-F238E27FC236}">
              <a16:creationId xmlns:a16="http://schemas.microsoft.com/office/drawing/2014/main" id="{31B3F351-960B-472C-3C20-4846BEE2FE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146050</xdr:colOff>
      <xdr:row>2</xdr:row>
      <xdr:rowOff>9525</xdr:rowOff>
    </xdr:from>
    <xdr:to>
      <xdr:col>8</xdr:col>
      <xdr:colOff>190500</xdr:colOff>
      <xdr:row>16</xdr:row>
      <xdr:rowOff>174625</xdr:rowOff>
    </xdr:to>
    <xdr:graphicFrame macro="">
      <xdr:nvGraphicFramePr>
        <xdr:cNvPr id="2" name="Ticket by App Version">
          <a:extLst>
            <a:ext uri="{FF2B5EF4-FFF2-40B4-BE49-F238E27FC236}">
              <a16:creationId xmlns:a16="http://schemas.microsoft.com/office/drawing/2014/main" id="{22FB72E6-E26C-4189-EB96-6D1915C3B2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438150</xdr:colOff>
      <xdr:row>2</xdr:row>
      <xdr:rowOff>66675</xdr:rowOff>
    </xdr:from>
    <xdr:to>
      <xdr:col>8</xdr:col>
      <xdr:colOff>215900</xdr:colOff>
      <xdr:row>17</xdr:row>
      <xdr:rowOff>47625</xdr:rowOff>
    </xdr:to>
    <xdr:graphicFrame macro="">
      <xdr:nvGraphicFramePr>
        <xdr:cNvPr id="2" name="Tickets by OS">
          <a:extLst>
            <a:ext uri="{FF2B5EF4-FFF2-40B4-BE49-F238E27FC236}">
              <a16:creationId xmlns:a16="http://schemas.microsoft.com/office/drawing/2014/main" id="{77EDC454-18EF-93F8-3C1B-5B880F44F9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76200</xdr:colOff>
      <xdr:row>2</xdr:row>
      <xdr:rowOff>174625</xdr:rowOff>
    </xdr:from>
    <xdr:to>
      <xdr:col>10</xdr:col>
      <xdr:colOff>381000</xdr:colOff>
      <xdr:row>17</xdr:row>
      <xdr:rowOff>155575</xdr:rowOff>
    </xdr:to>
    <xdr:graphicFrame macro="">
      <xdr:nvGraphicFramePr>
        <xdr:cNvPr id="2" name="Customer Satisfaction">
          <a:extLst>
            <a:ext uri="{FF2B5EF4-FFF2-40B4-BE49-F238E27FC236}">
              <a16:creationId xmlns:a16="http://schemas.microsoft.com/office/drawing/2014/main" id="{2996FD5E-6953-6303-FDD7-AA24365EF8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317500</xdr:colOff>
      <xdr:row>0</xdr:row>
      <xdr:rowOff>180975</xdr:rowOff>
    </xdr:from>
    <xdr:to>
      <xdr:col>9</xdr:col>
      <xdr:colOff>25400</xdr:colOff>
      <xdr:row>15</xdr:row>
      <xdr:rowOff>161925</xdr:rowOff>
    </xdr:to>
    <xdr:graphicFrame macro="">
      <xdr:nvGraphicFramePr>
        <xdr:cNvPr id="2" name="Customer Support Rating">
          <a:extLst>
            <a:ext uri="{FF2B5EF4-FFF2-40B4-BE49-F238E27FC236}">
              <a16:creationId xmlns:a16="http://schemas.microsoft.com/office/drawing/2014/main" id="{673653E3-07B7-39F2-B30A-BBE8DB87E6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469900</xdr:colOff>
      <xdr:row>2</xdr:row>
      <xdr:rowOff>34925</xdr:rowOff>
    </xdr:from>
    <xdr:to>
      <xdr:col>10</xdr:col>
      <xdr:colOff>165100</xdr:colOff>
      <xdr:row>17</xdr:row>
      <xdr:rowOff>15875</xdr:rowOff>
    </xdr:to>
    <xdr:graphicFrame macro="">
      <xdr:nvGraphicFramePr>
        <xdr:cNvPr id="2" name="Time taken to resolve tickets">
          <a:extLst>
            <a:ext uri="{FF2B5EF4-FFF2-40B4-BE49-F238E27FC236}">
              <a16:creationId xmlns:a16="http://schemas.microsoft.com/office/drawing/2014/main" id="{F8E8254C-80CD-8BAE-B50C-9DBBB17F61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476250</xdr:colOff>
      <xdr:row>2</xdr:row>
      <xdr:rowOff>22225</xdr:rowOff>
    </xdr:from>
    <xdr:to>
      <xdr:col>7</xdr:col>
      <xdr:colOff>304800</xdr:colOff>
      <xdr:row>17</xdr:row>
      <xdr:rowOff>3175</xdr:rowOff>
    </xdr:to>
    <xdr:graphicFrame macro="">
      <xdr:nvGraphicFramePr>
        <xdr:cNvPr id="2" name="SLA for first response">
          <a:extLst>
            <a:ext uri="{FF2B5EF4-FFF2-40B4-BE49-F238E27FC236}">
              <a16:creationId xmlns:a16="http://schemas.microsoft.com/office/drawing/2014/main" id="{62C0429A-05E8-0FD7-F911-021FD9BB4D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a Thakor" refreshedDate="46274.984598842595" createdVersion="8" refreshedVersion="8" minRefreshableVersion="3" recordCount="239" xr:uid="{58BBCC0B-D4BC-473F-B576-3C0DE182E5F3}">
  <cacheSource type="worksheet">
    <worksheetSource name="Ticket_Table"/>
  </cacheSource>
  <cacheFields count="16">
    <cacheField name="ticket_id" numFmtId="0">
      <sharedItems/>
    </cacheField>
    <cacheField name="created_date" numFmtId="164">
      <sharedItems/>
    </cacheField>
    <cacheField name="channel" numFmtId="0">
      <sharedItems count="2">
        <s v="Chat"/>
        <s v="Email"/>
      </sharedItems>
    </cacheField>
    <cacheField name="category" numFmtId="0">
      <sharedItems count="8">
        <s v="Device - pairing"/>
        <s v="Account / login"/>
        <s v="Sync"/>
        <s v="Device - battery"/>
        <s v="Billing"/>
        <s v="Returns / warranty"/>
        <s v="Transcription"/>
        <s v="Other"/>
      </sharedItems>
    </cacheField>
    <cacheField name="subject" numFmtId="0">
      <sharedItems/>
    </cacheField>
    <cacheField name="app_version" numFmtId="0">
      <sharedItems containsSemiMixedTypes="0" containsString="0" containsNumber="1" minValue="3.1" maxValue="3.2" count="2">
        <n v="3.1"/>
        <n v="3.2"/>
      </sharedItems>
    </cacheField>
    <cacheField name="os" numFmtId="0">
      <sharedItems count="2">
        <s v="Android"/>
        <s v="iOS"/>
      </sharedItems>
    </cacheField>
    <cacheField name="first_response_hours" numFmtId="165">
      <sharedItems containsSemiMixedTypes="0" containsString="0" containsNumber="1" minValue="0.1" maxValue="13.8"/>
    </cacheField>
    <cacheField name="resolution_hours" numFmtId="165">
      <sharedItems containsString="0" containsBlank="1" containsNumber="1" minValue="0.7" maxValue="71.7"/>
    </cacheField>
    <cacheField name="csat" numFmtId="0">
      <sharedItems containsString="0" containsBlank="1" containsNumber="1" containsInteger="1" minValue="1" maxValue="5" count="6">
        <n v="3"/>
        <n v="5"/>
        <n v="4"/>
        <m/>
        <n v="2"/>
        <n v="1"/>
      </sharedItems>
    </cacheField>
    <cacheField name="status" numFmtId="0">
      <sharedItems/>
    </cacheField>
    <cacheField name="month" numFmtId="0">
      <sharedItems count="3">
        <s v="May"/>
        <s v="June"/>
        <s v="July"/>
      </sharedItems>
    </cacheField>
    <cacheField name="csat_rated" numFmtId="0">
      <sharedItems count="2">
        <s v="Rated"/>
        <s v="Not Rated"/>
      </sharedItems>
    </cacheField>
    <cacheField name="csat_bucket" numFmtId="0">
      <sharedItems count="4">
        <s v="Neutral"/>
        <s v="Satisfied"/>
        <s v="Not Rated"/>
        <s v="Dissatisfied"/>
      </sharedItems>
    </cacheField>
    <cacheField name="time_taken_to_resolve" numFmtId="0">
      <sharedItems count="4">
        <s v="1 Day"/>
        <s v="2 Days"/>
        <s v="More than 2 days"/>
        <s v="Took more than 2 days" u="1"/>
      </sharedItems>
    </cacheField>
    <cacheField name="sla_first_response_met" numFmtId="0">
      <sharedItems count="2">
        <s v="SLA met"/>
        <s v="Failed to meet SLA"/>
      </sharedItems>
    </cacheField>
  </cacheFields>
  <extLst>
    <ext xmlns:x14="http://schemas.microsoft.com/office/spreadsheetml/2009/9/main" uri="{725AE2AE-9491-48be-B2B4-4EB974FC3084}">
      <x14:pivotCacheDefinition pivotCacheId="5647350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9">
  <r>
    <s v="PKT-4822"/>
    <s v="2026-05-26 15:12"/>
    <x v="0"/>
    <x v="0"/>
    <s v="Keeps disconnecting during calls"/>
    <x v="0"/>
    <x v="0"/>
    <n v="1.8"/>
    <n v="8.1999999999999993"/>
    <x v="0"/>
    <s v="Resolved"/>
    <x v="0"/>
    <x v="0"/>
    <x v="0"/>
    <x v="0"/>
    <x v="0"/>
  </r>
  <r>
    <s v="PKT-4846"/>
    <s v="2026-05-27 13:00"/>
    <x v="0"/>
    <x v="1"/>
    <s v="Email on file is wrong"/>
    <x v="0"/>
    <x v="0"/>
    <n v="1.8"/>
    <n v="18.600000000000001"/>
    <x v="1"/>
    <s v="Resolved"/>
    <x v="0"/>
    <x v="0"/>
    <x v="1"/>
    <x v="0"/>
    <x v="0"/>
  </r>
  <r>
    <s v="PKT-4827"/>
    <s v="2026-05-27 15:46"/>
    <x v="1"/>
    <x v="0"/>
    <s v="Bluetooth pairing fails"/>
    <x v="0"/>
    <x v="0"/>
    <n v="12"/>
    <n v="12.6"/>
    <x v="0"/>
    <s v="Resolved"/>
    <x v="0"/>
    <x v="0"/>
    <x v="0"/>
    <x v="0"/>
    <x v="1"/>
  </r>
  <r>
    <s v="PKT-4835"/>
    <s v="2026-05-27 15:49"/>
    <x v="0"/>
    <x v="2"/>
    <s v="Old recordings missing after update"/>
    <x v="0"/>
    <x v="1"/>
    <n v="2.2000000000000002"/>
    <n v="12.2"/>
    <x v="2"/>
    <s v="Resolved"/>
    <x v="0"/>
    <x v="0"/>
    <x v="1"/>
    <x v="0"/>
    <x v="0"/>
  </r>
  <r>
    <s v="PKT-4829"/>
    <s v="2026-05-28 10:41"/>
    <x v="1"/>
    <x v="3"/>
    <s v="Charging light not coming on"/>
    <x v="0"/>
    <x v="0"/>
    <n v="8"/>
    <n v="6"/>
    <x v="3"/>
    <s v="Resolved"/>
    <x v="0"/>
    <x v="1"/>
    <x v="2"/>
    <x v="0"/>
    <x v="1"/>
  </r>
  <r>
    <s v="PKT-4823"/>
    <s v="2026-05-28 11:09"/>
    <x v="1"/>
    <x v="0"/>
    <s v="Bluetooth pairing fails"/>
    <x v="0"/>
    <x v="0"/>
    <n v="8.8000000000000007"/>
    <n v="4.9000000000000004"/>
    <x v="0"/>
    <s v="Resolved"/>
    <x v="0"/>
    <x v="0"/>
    <x v="0"/>
    <x v="0"/>
    <x v="1"/>
  </r>
  <r>
    <s v="PKT-4825"/>
    <s v="2026-05-28 16:12"/>
    <x v="0"/>
    <x v="0"/>
    <s v="Keeps disconnecting during calls"/>
    <x v="0"/>
    <x v="1"/>
    <n v="2.2000000000000002"/>
    <n v="20.5"/>
    <x v="2"/>
    <s v="Resolved"/>
    <x v="0"/>
    <x v="0"/>
    <x v="1"/>
    <x v="0"/>
    <x v="0"/>
  </r>
  <r>
    <s v="PKT-4839"/>
    <s v="2026-05-29 08:15"/>
    <x v="1"/>
    <x v="4"/>
    <s v="Unexpected Pocket Pro charge"/>
    <x v="0"/>
    <x v="0"/>
    <n v="1.1000000000000001"/>
    <n v="25"/>
    <x v="0"/>
    <s v="Resolved"/>
    <x v="0"/>
    <x v="0"/>
    <x v="0"/>
    <x v="1"/>
    <x v="0"/>
  </r>
  <r>
    <s v="PKT-4841"/>
    <s v="2026-05-29 10:34"/>
    <x v="1"/>
    <x v="5"/>
    <s v="Device arrived damaged"/>
    <x v="0"/>
    <x v="0"/>
    <n v="2.2000000000000002"/>
    <n v="23.7"/>
    <x v="1"/>
    <s v="Resolved"/>
    <x v="0"/>
    <x v="0"/>
    <x v="1"/>
    <x v="0"/>
    <x v="0"/>
  </r>
  <r>
    <s v="PKT-4844"/>
    <s v="2026-05-29 10:55"/>
    <x v="0"/>
    <x v="1"/>
    <s v="Can't log in to app"/>
    <x v="0"/>
    <x v="0"/>
    <n v="1.6"/>
    <n v="16.3"/>
    <x v="2"/>
    <s v="Resolved"/>
    <x v="0"/>
    <x v="0"/>
    <x v="1"/>
    <x v="0"/>
    <x v="0"/>
  </r>
  <r>
    <s v="PKT-4838"/>
    <s v="2026-05-29 10:59"/>
    <x v="1"/>
    <x v="6"/>
    <s v="Transcription stuck processing"/>
    <x v="0"/>
    <x v="1"/>
    <n v="12.7"/>
    <n v="30.2"/>
    <x v="1"/>
    <s v="Resolved"/>
    <x v="0"/>
    <x v="0"/>
    <x v="1"/>
    <x v="1"/>
    <x v="1"/>
  </r>
  <r>
    <s v="PKT-4826"/>
    <s v="2026-05-29 11:29"/>
    <x v="0"/>
    <x v="0"/>
    <s v="Pocket won't connect to my phone"/>
    <x v="0"/>
    <x v="0"/>
    <n v="1.5"/>
    <n v="6.6"/>
    <x v="1"/>
    <s v="Resolved"/>
    <x v="0"/>
    <x v="0"/>
    <x v="1"/>
    <x v="0"/>
    <x v="0"/>
  </r>
  <r>
    <s v="PKT-4832"/>
    <s v="2026-05-29 15:16"/>
    <x v="0"/>
    <x v="2"/>
    <s v="Duplicate recordings after sync"/>
    <x v="0"/>
    <x v="1"/>
    <n v="1.9"/>
    <n v="13.8"/>
    <x v="3"/>
    <s v="Resolved"/>
    <x v="0"/>
    <x v="1"/>
    <x v="2"/>
    <x v="0"/>
    <x v="0"/>
  </r>
  <r>
    <s v="PKT-4845"/>
    <s v="2026-05-30 20:00"/>
    <x v="0"/>
    <x v="1"/>
    <s v="Email on file is wrong"/>
    <x v="0"/>
    <x v="1"/>
    <n v="2.2999999999999998"/>
    <n v="3.7"/>
    <x v="2"/>
    <s v="Resolved"/>
    <x v="0"/>
    <x v="0"/>
    <x v="1"/>
    <x v="0"/>
    <x v="0"/>
  </r>
  <r>
    <s v="PKT-4843"/>
    <s v="2026-05-31 12:51"/>
    <x v="0"/>
    <x v="1"/>
    <s v="Email on file is wrong"/>
    <x v="0"/>
    <x v="1"/>
    <n v="0.5"/>
    <n v="4.2"/>
    <x v="2"/>
    <s v="Resolved"/>
    <x v="0"/>
    <x v="0"/>
    <x v="1"/>
    <x v="0"/>
    <x v="0"/>
  </r>
  <r>
    <s v="PKT-4842"/>
    <s v="2026-05-31 13:22"/>
    <x v="1"/>
    <x v="5"/>
    <s v="How do I return my Pocket"/>
    <x v="0"/>
    <x v="0"/>
    <n v="1.8"/>
    <n v="53.5"/>
    <x v="3"/>
    <s v="Resolved"/>
    <x v="0"/>
    <x v="1"/>
    <x v="2"/>
    <x v="2"/>
    <x v="0"/>
  </r>
  <r>
    <s v="PKT-4830"/>
    <s v="2026-05-31 16:27"/>
    <x v="0"/>
    <x v="3"/>
    <s v="Charging light not coming on"/>
    <x v="0"/>
    <x v="0"/>
    <n v="1.3"/>
    <n v="12.1"/>
    <x v="0"/>
    <s v="Resolved"/>
    <x v="0"/>
    <x v="0"/>
    <x v="0"/>
    <x v="0"/>
    <x v="0"/>
  </r>
  <r>
    <s v="PKT-4840"/>
    <s v="2026-05-31 17:03"/>
    <x v="1"/>
    <x v="4"/>
    <s v="Unexpected Pocket Pro charge"/>
    <x v="0"/>
    <x v="1"/>
    <n v="4.5999999999999996"/>
    <n v="65.3"/>
    <x v="3"/>
    <s v="Resolved"/>
    <x v="0"/>
    <x v="1"/>
    <x v="2"/>
    <x v="2"/>
    <x v="0"/>
  </r>
  <r>
    <s v="PKT-4821"/>
    <s v="2026-05-31 18:57"/>
    <x v="1"/>
    <x v="0"/>
    <s v="Keeps disconnecting during calls"/>
    <x v="0"/>
    <x v="0"/>
    <n v="7.6"/>
    <n v="2.9"/>
    <x v="3"/>
    <s v="Resolved"/>
    <x v="0"/>
    <x v="1"/>
    <x v="2"/>
    <x v="0"/>
    <x v="1"/>
  </r>
  <r>
    <s v="PKT-4847"/>
    <s v="2026-05-31 19:35"/>
    <x v="0"/>
    <x v="7"/>
    <s v="Feature request: folders"/>
    <x v="0"/>
    <x v="0"/>
    <n v="1.5"/>
    <n v="3.5"/>
    <x v="3"/>
    <s v="Resolved"/>
    <x v="0"/>
    <x v="1"/>
    <x v="2"/>
    <x v="0"/>
    <x v="0"/>
  </r>
  <r>
    <s v="PKT-4828"/>
    <s v="2026-06-01 07:14"/>
    <x v="0"/>
    <x v="3"/>
    <s v="Charging light not coming on"/>
    <x v="0"/>
    <x v="0"/>
    <n v="2.2000000000000002"/>
    <n v="13.2"/>
    <x v="3"/>
    <s v="Resolved"/>
    <x v="1"/>
    <x v="1"/>
    <x v="2"/>
    <x v="0"/>
    <x v="0"/>
  </r>
  <r>
    <s v="PKT-4824"/>
    <s v="2026-06-01 07:46"/>
    <x v="1"/>
    <x v="0"/>
    <s v="Can't get it to pair after reset"/>
    <x v="0"/>
    <x v="1"/>
    <n v="12.5"/>
    <n v="29.2"/>
    <x v="1"/>
    <s v="Resolved"/>
    <x v="1"/>
    <x v="0"/>
    <x v="1"/>
    <x v="1"/>
    <x v="1"/>
  </r>
  <r>
    <s v="PKT-4831"/>
    <s v="2026-06-01 07:55"/>
    <x v="1"/>
    <x v="3"/>
    <s v="Dies overnight when idle"/>
    <x v="0"/>
    <x v="1"/>
    <n v="6"/>
    <n v="24.2"/>
    <x v="0"/>
    <s v="Resolved"/>
    <x v="1"/>
    <x v="0"/>
    <x v="0"/>
    <x v="1"/>
    <x v="0"/>
  </r>
  <r>
    <s v="PKT-4834"/>
    <s v="2026-06-01 09:32"/>
    <x v="0"/>
    <x v="2"/>
    <s v="Sync stuck at 0%"/>
    <x v="0"/>
    <x v="0"/>
    <n v="1"/>
    <n v="16.899999999999999"/>
    <x v="2"/>
    <s v="Resolved"/>
    <x v="1"/>
    <x v="0"/>
    <x v="1"/>
    <x v="0"/>
    <x v="0"/>
  </r>
  <r>
    <s v="PKT-4837"/>
    <s v="2026-06-01 15:49"/>
    <x v="1"/>
    <x v="6"/>
    <s v="Garbled transcript on long recording"/>
    <x v="0"/>
    <x v="0"/>
    <n v="12.3"/>
    <n v="38.200000000000003"/>
    <x v="3"/>
    <s v="Resolved"/>
    <x v="1"/>
    <x v="1"/>
    <x v="2"/>
    <x v="1"/>
    <x v="1"/>
  </r>
  <r>
    <s v="PKT-4833"/>
    <s v="2026-06-01 17:21"/>
    <x v="1"/>
    <x v="2"/>
    <s v="Old recordings missing after update"/>
    <x v="0"/>
    <x v="0"/>
    <n v="13.6"/>
    <n v="3.6"/>
    <x v="3"/>
    <s v="Resolved"/>
    <x v="1"/>
    <x v="1"/>
    <x v="2"/>
    <x v="0"/>
    <x v="1"/>
  </r>
  <r>
    <s v="PKT-4836"/>
    <s v="2026-06-01 19:19"/>
    <x v="1"/>
    <x v="2"/>
    <s v="App won't sync over wifi"/>
    <x v="0"/>
    <x v="1"/>
    <n v="11.6"/>
    <n v="17.600000000000001"/>
    <x v="2"/>
    <s v="Resolved"/>
    <x v="1"/>
    <x v="0"/>
    <x v="1"/>
    <x v="0"/>
    <x v="1"/>
  </r>
  <r>
    <s v="PKT-4851"/>
    <s v="2026-06-02 07:29"/>
    <x v="0"/>
    <x v="0"/>
    <s v="Bluetooth pairing fails"/>
    <x v="0"/>
    <x v="1"/>
    <n v="0.4"/>
    <n v="4.0999999999999996"/>
    <x v="3"/>
    <s v="Resolved"/>
    <x v="1"/>
    <x v="1"/>
    <x v="2"/>
    <x v="0"/>
    <x v="0"/>
  </r>
  <r>
    <s v="PKT-4879"/>
    <s v="2026-06-02 13:26"/>
    <x v="1"/>
    <x v="7"/>
    <s v="General question about privacy"/>
    <x v="0"/>
    <x v="0"/>
    <n v="6.1"/>
    <n v="8.6"/>
    <x v="3"/>
    <s v="Resolved"/>
    <x v="1"/>
    <x v="1"/>
    <x v="2"/>
    <x v="0"/>
    <x v="1"/>
  </r>
  <r>
    <s v="PKT-4866"/>
    <s v="2026-06-02 13:57"/>
    <x v="0"/>
    <x v="4"/>
    <s v="Can't update payment method"/>
    <x v="0"/>
    <x v="0"/>
    <n v="1.7"/>
    <n v="26.1"/>
    <x v="0"/>
    <s v="Resolved"/>
    <x v="1"/>
    <x v="0"/>
    <x v="0"/>
    <x v="1"/>
    <x v="0"/>
  </r>
  <r>
    <s v="PKT-4854"/>
    <s v="2026-06-02 18:35"/>
    <x v="1"/>
    <x v="0"/>
    <s v="Bluetooth pairing fails"/>
    <x v="0"/>
    <x v="0"/>
    <n v="7.6"/>
    <n v="18.899999999999999"/>
    <x v="0"/>
    <s v="Resolved"/>
    <x v="1"/>
    <x v="0"/>
    <x v="0"/>
    <x v="0"/>
    <x v="1"/>
  </r>
  <r>
    <s v="PKT-4848"/>
    <s v="2026-06-03 07:32"/>
    <x v="1"/>
    <x v="0"/>
    <s v="Keeps disconnecting during calls"/>
    <x v="0"/>
    <x v="1"/>
    <n v="6.2"/>
    <n v="3.9"/>
    <x v="3"/>
    <s v="Resolved"/>
    <x v="1"/>
    <x v="1"/>
    <x v="2"/>
    <x v="0"/>
    <x v="1"/>
  </r>
  <r>
    <s v="PKT-4862"/>
    <s v="2026-06-03 10:52"/>
    <x v="0"/>
    <x v="2"/>
    <s v="Sync stuck at 0%"/>
    <x v="0"/>
    <x v="0"/>
    <n v="0.1"/>
    <n v="6.5"/>
    <x v="2"/>
    <s v="Resolved"/>
    <x v="1"/>
    <x v="0"/>
    <x v="1"/>
    <x v="0"/>
    <x v="0"/>
  </r>
  <r>
    <s v="PKT-4878"/>
    <s v="2026-06-03 11:21"/>
    <x v="1"/>
    <x v="7"/>
    <s v="Is there a web version"/>
    <x v="0"/>
    <x v="1"/>
    <n v="10.199999999999999"/>
    <n v="3.2"/>
    <x v="3"/>
    <s v="Resolved"/>
    <x v="1"/>
    <x v="1"/>
    <x v="2"/>
    <x v="0"/>
    <x v="1"/>
  </r>
  <r>
    <s v="PKT-4863"/>
    <s v="2026-06-03 13:21"/>
    <x v="1"/>
    <x v="2"/>
    <s v="Duplicate recordings after sync"/>
    <x v="0"/>
    <x v="1"/>
    <n v="6.2"/>
    <n v="19.399999999999999"/>
    <x v="3"/>
    <s v="Resolved"/>
    <x v="1"/>
    <x v="1"/>
    <x v="2"/>
    <x v="0"/>
    <x v="1"/>
  </r>
  <r>
    <s v="PKT-4869"/>
    <s v="2026-06-03 13:42"/>
    <x v="0"/>
    <x v="4"/>
    <s v="Can't update payment method"/>
    <x v="0"/>
    <x v="1"/>
    <n v="2.1"/>
    <n v="53.5"/>
    <x v="3"/>
    <s v="Resolved"/>
    <x v="1"/>
    <x v="1"/>
    <x v="2"/>
    <x v="2"/>
    <x v="0"/>
  </r>
  <r>
    <s v="PKT-4856"/>
    <s v="2026-06-03 17:16"/>
    <x v="1"/>
    <x v="3"/>
    <s v="Battery draining way too fast"/>
    <x v="0"/>
    <x v="0"/>
    <n v="2"/>
    <n v="17.399999999999999"/>
    <x v="0"/>
    <s v="Resolved"/>
    <x v="1"/>
    <x v="0"/>
    <x v="0"/>
    <x v="0"/>
    <x v="0"/>
  </r>
  <r>
    <s v="PKT-4865"/>
    <s v="2026-06-04 07:06"/>
    <x v="0"/>
    <x v="6"/>
    <s v="Garbled transcript on long recording"/>
    <x v="0"/>
    <x v="0"/>
    <n v="2.5"/>
    <n v="30.8"/>
    <x v="3"/>
    <s v="Resolved"/>
    <x v="1"/>
    <x v="1"/>
    <x v="2"/>
    <x v="1"/>
    <x v="0"/>
  </r>
  <r>
    <s v="PKT-4870"/>
    <s v="2026-06-04 11:13"/>
    <x v="1"/>
    <x v="5"/>
    <s v="Return label not received"/>
    <x v="0"/>
    <x v="0"/>
    <n v="7.2"/>
    <n v="34.299999999999997"/>
    <x v="2"/>
    <s v="Resolved"/>
    <x v="1"/>
    <x v="0"/>
    <x v="1"/>
    <x v="1"/>
    <x v="1"/>
  </r>
  <r>
    <s v="PKT-4859"/>
    <s v="2026-06-04 19:35"/>
    <x v="0"/>
    <x v="3"/>
    <s v="Only lasts a couple of hours now"/>
    <x v="0"/>
    <x v="0"/>
    <n v="2.4"/>
    <n v="29.3"/>
    <x v="0"/>
    <s v="Resolved"/>
    <x v="1"/>
    <x v="0"/>
    <x v="0"/>
    <x v="1"/>
    <x v="0"/>
  </r>
  <r>
    <s v="PKT-4852"/>
    <s v="2026-06-04 21:04"/>
    <x v="0"/>
    <x v="0"/>
    <s v="Can't get it to pair after reset"/>
    <x v="0"/>
    <x v="0"/>
    <n v="2.5"/>
    <n v="10"/>
    <x v="1"/>
    <s v="Resolved"/>
    <x v="1"/>
    <x v="0"/>
    <x v="1"/>
    <x v="0"/>
    <x v="0"/>
  </r>
  <r>
    <s v="PKT-4855"/>
    <s v="2026-06-04 21:58"/>
    <x v="0"/>
    <x v="3"/>
    <s v="Battery draining way too fast"/>
    <x v="0"/>
    <x v="1"/>
    <n v="0.9"/>
    <n v="19.8"/>
    <x v="0"/>
    <s v="Resolved"/>
    <x v="1"/>
    <x v="0"/>
    <x v="0"/>
    <x v="0"/>
    <x v="0"/>
  </r>
  <r>
    <s v="PKT-4858"/>
    <s v="2026-06-04 21:59"/>
    <x v="0"/>
    <x v="3"/>
    <s v="Only lasts a couple of hours now"/>
    <x v="0"/>
    <x v="1"/>
    <n v="1.7"/>
    <n v="27.2"/>
    <x v="3"/>
    <s v="Resolved"/>
    <x v="1"/>
    <x v="1"/>
    <x v="2"/>
    <x v="1"/>
    <x v="0"/>
  </r>
  <r>
    <s v="PKT-4849"/>
    <s v="2026-06-06 10:37"/>
    <x v="0"/>
    <x v="0"/>
    <s v="Bluetooth pairing fails"/>
    <x v="0"/>
    <x v="1"/>
    <n v="0.6"/>
    <n v="13.7"/>
    <x v="0"/>
    <s v="Resolved"/>
    <x v="1"/>
    <x v="0"/>
    <x v="0"/>
    <x v="0"/>
    <x v="0"/>
  </r>
  <r>
    <s v="PKT-4875"/>
    <s v="2026-06-06 10:58"/>
    <x v="0"/>
    <x v="1"/>
    <s v="Two accounts merged by mistake"/>
    <x v="0"/>
    <x v="0"/>
    <n v="1.5"/>
    <n v="3.1"/>
    <x v="0"/>
    <s v="Resolved"/>
    <x v="1"/>
    <x v="0"/>
    <x v="0"/>
    <x v="0"/>
    <x v="0"/>
  </r>
  <r>
    <s v="PKT-4874"/>
    <s v="2026-06-07 07:57"/>
    <x v="0"/>
    <x v="1"/>
    <s v="Two accounts merged by mistake"/>
    <x v="0"/>
    <x v="1"/>
    <n v="1.2"/>
    <n v="15.7"/>
    <x v="3"/>
    <s v="Resolved"/>
    <x v="1"/>
    <x v="1"/>
    <x v="2"/>
    <x v="0"/>
    <x v="0"/>
  </r>
  <r>
    <s v="PKT-4850"/>
    <s v="2026-06-07 12:15"/>
    <x v="1"/>
    <x v="0"/>
    <s v="Bluetooth pairing fails"/>
    <x v="0"/>
    <x v="1"/>
    <n v="13.1"/>
    <n v="20.8"/>
    <x v="3"/>
    <s v="Resolved"/>
    <x v="1"/>
    <x v="1"/>
    <x v="2"/>
    <x v="0"/>
    <x v="1"/>
  </r>
  <r>
    <s v="PKT-4867"/>
    <s v="2026-06-07 18:42"/>
    <x v="1"/>
    <x v="4"/>
    <s v="Can't update payment method"/>
    <x v="0"/>
    <x v="0"/>
    <n v="5.0999999999999996"/>
    <n v="27.4"/>
    <x v="4"/>
    <s v="Resolved"/>
    <x v="1"/>
    <x v="0"/>
    <x v="3"/>
    <x v="1"/>
    <x v="0"/>
  </r>
  <r>
    <s v="PKT-4857"/>
    <s v="2026-06-07 21:09"/>
    <x v="1"/>
    <x v="3"/>
    <s v="Only lasts a couple of hours now"/>
    <x v="0"/>
    <x v="0"/>
    <n v="1.5"/>
    <n v="18.3"/>
    <x v="3"/>
    <s v="Resolved"/>
    <x v="1"/>
    <x v="1"/>
    <x v="2"/>
    <x v="0"/>
    <x v="0"/>
  </r>
  <r>
    <s v="PKT-4873"/>
    <s v="2026-06-08 08:29"/>
    <x v="1"/>
    <x v="1"/>
    <s v="Password reset not working"/>
    <x v="0"/>
    <x v="1"/>
    <n v="2.9"/>
    <n v="14.5"/>
    <x v="2"/>
    <s v="Resolved"/>
    <x v="1"/>
    <x v="0"/>
    <x v="1"/>
    <x v="0"/>
    <x v="0"/>
  </r>
  <r>
    <s v="PKT-4868"/>
    <s v="2026-06-08 08:46"/>
    <x v="0"/>
    <x v="4"/>
    <s v="Refund never arrived"/>
    <x v="0"/>
    <x v="0"/>
    <n v="1.4"/>
    <n v="56"/>
    <x v="3"/>
    <s v="Resolved"/>
    <x v="1"/>
    <x v="1"/>
    <x v="2"/>
    <x v="2"/>
    <x v="0"/>
  </r>
  <r>
    <s v="PKT-4860"/>
    <s v="2026-06-08 09:56"/>
    <x v="1"/>
    <x v="3"/>
    <s v="Dies overnight when idle"/>
    <x v="0"/>
    <x v="1"/>
    <n v="11.4"/>
    <n v="22.6"/>
    <x v="3"/>
    <s v="Resolved"/>
    <x v="1"/>
    <x v="1"/>
    <x v="2"/>
    <x v="0"/>
    <x v="1"/>
  </r>
  <r>
    <s v="PKT-4872"/>
    <s v="2026-06-08 10:43"/>
    <x v="1"/>
    <x v="5"/>
    <s v="Wrong item shipped"/>
    <x v="0"/>
    <x v="1"/>
    <n v="8.9"/>
    <n v="19.100000000000001"/>
    <x v="3"/>
    <s v="Resolved"/>
    <x v="1"/>
    <x v="1"/>
    <x v="2"/>
    <x v="0"/>
    <x v="1"/>
  </r>
  <r>
    <s v="PKT-4877"/>
    <s v="2026-06-08 10:53"/>
    <x v="0"/>
    <x v="7"/>
    <s v="Feature request: folders"/>
    <x v="0"/>
    <x v="0"/>
    <n v="1.8"/>
    <n v="12.7"/>
    <x v="3"/>
    <s v="Resolved"/>
    <x v="1"/>
    <x v="1"/>
    <x v="2"/>
    <x v="0"/>
    <x v="0"/>
  </r>
  <r>
    <s v="PKT-4864"/>
    <s v="2026-06-08 15:21"/>
    <x v="0"/>
    <x v="6"/>
    <s v="Garbled transcript on long recording"/>
    <x v="0"/>
    <x v="1"/>
    <n v="2.4"/>
    <n v="35.799999999999997"/>
    <x v="3"/>
    <s v="Resolved"/>
    <x v="1"/>
    <x v="1"/>
    <x v="2"/>
    <x v="1"/>
    <x v="0"/>
  </r>
  <r>
    <s v="PKT-4853"/>
    <s v="2026-06-08 17:33"/>
    <x v="1"/>
    <x v="0"/>
    <s v="Keeps disconnecting during calls"/>
    <x v="0"/>
    <x v="0"/>
    <n v="4.4000000000000004"/>
    <n v="28.1"/>
    <x v="3"/>
    <s v="Resolved"/>
    <x v="1"/>
    <x v="1"/>
    <x v="2"/>
    <x v="1"/>
    <x v="0"/>
  </r>
  <r>
    <s v="PKT-4871"/>
    <s v="2026-06-08 18:10"/>
    <x v="0"/>
    <x v="5"/>
    <s v="How do I return my Pocket"/>
    <x v="0"/>
    <x v="0"/>
    <n v="2.1"/>
    <n v="36.700000000000003"/>
    <x v="2"/>
    <s v="Resolved"/>
    <x v="1"/>
    <x v="0"/>
    <x v="1"/>
    <x v="1"/>
    <x v="0"/>
  </r>
  <r>
    <s v="PKT-4861"/>
    <s v="2026-06-08 18:51"/>
    <x v="1"/>
    <x v="2"/>
    <s v="Recordings not showing up in app"/>
    <x v="0"/>
    <x v="1"/>
    <n v="12.2"/>
    <n v="15.9"/>
    <x v="3"/>
    <s v="Resolved"/>
    <x v="1"/>
    <x v="1"/>
    <x v="2"/>
    <x v="0"/>
    <x v="1"/>
  </r>
  <r>
    <s v="PKT-4876"/>
    <s v="2026-06-08 21:28"/>
    <x v="0"/>
    <x v="1"/>
    <s v="Email on file is wrong"/>
    <x v="0"/>
    <x v="0"/>
    <n v="1.2"/>
    <n v="16.7"/>
    <x v="2"/>
    <s v="Resolved"/>
    <x v="1"/>
    <x v="0"/>
    <x v="1"/>
    <x v="0"/>
    <x v="0"/>
  </r>
  <r>
    <s v="PKT-4900"/>
    <s v="2026-06-09 07:35"/>
    <x v="1"/>
    <x v="6"/>
    <s v="Transcript cuts off partway"/>
    <x v="0"/>
    <x v="1"/>
    <n v="8.5"/>
    <n v="27.7"/>
    <x v="2"/>
    <s v="Resolved"/>
    <x v="1"/>
    <x v="0"/>
    <x v="1"/>
    <x v="1"/>
    <x v="1"/>
  </r>
  <r>
    <s v="PKT-4905"/>
    <s v="2026-06-09 09:15"/>
    <x v="1"/>
    <x v="5"/>
    <s v="Return label not received"/>
    <x v="0"/>
    <x v="1"/>
    <n v="7.1"/>
    <n v="19.5"/>
    <x v="4"/>
    <s v="Resolved"/>
    <x v="1"/>
    <x v="0"/>
    <x v="3"/>
    <x v="0"/>
    <x v="1"/>
  </r>
  <r>
    <s v="PKT-4906"/>
    <s v="2026-06-09 10:18"/>
    <x v="0"/>
    <x v="5"/>
    <s v="Warranty claim for dead unit"/>
    <x v="0"/>
    <x v="0"/>
    <n v="2"/>
    <n v="15.4"/>
    <x v="3"/>
    <s v="Resolved"/>
    <x v="1"/>
    <x v="1"/>
    <x v="2"/>
    <x v="0"/>
    <x v="0"/>
  </r>
  <r>
    <s v="PKT-4890"/>
    <s v="2026-06-09 13:23"/>
    <x v="0"/>
    <x v="3"/>
    <s v="Charging light not coming on"/>
    <x v="0"/>
    <x v="0"/>
    <n v="2.4"/>
    <n v="21.8"/>
    <x v="1"/>
    <s v="Resolved"/>
    <x v="1"/>
    <x v="0"/>
    <x v="1"/>
    <x v="0"/>
    <x v="0"/>
  </r>
  <r>
    <s v="PKT-4903"/>
    <s v="2026-06-09 15:48"/>
    <x v="1"/>
    <x v="4"/>
    <s v="Refund never arrived"/>
    <x v="0"/>
    <x v="1"/>
    <n v="12.2"/>
    <n v="61.2"/>
    <x v="5"/>
    <s v="Resolved"/>
    <x v="1"/>
    <x v="0"/>
    <x v="3"/>
    <x v="2"/>
    <x v="1"/>
  </r>
  <r>
    <s v="PKT-4887"/>
    <s v="2026-06-09 16:01"/>
    <x v="0"/>
    <x v="3"/>
    <s v="Charging light not coming on"/>
    <x v="0"/>
    <x v="0"/>
    <n v="1.7"/>
    <n v="13.1"/>
    <x v="0"/>
    <s v="Resolved"/>
    <x v="1"/>
    <x v="0"/>
    <x v="0"/>
    <x v="0"/>
    <x v="0"/>
  </r>
  <r>
    <s v="PKT-4902"/>
    <s v="2026-06-09 16:40"/>
    <x v="0"/>
    <x v="4"/>
    <s v="Charged after I cancelled"/>
    <x v="0"/>
    <x v="1"/>
    <n v="2.5"/>
    <n v="31.2"/>
    <x v="4"/>
    <s v="Resolved"/>
    <x v="1"/>
    <x v="0"/>
    <x v="3"/>
    <x v="1"/>
    <x v="0"/>
  </r>
  <r>
    <s v="PKT-4899"/>
    <s v="2026-06-09 20:12"/>
    <x v="1"/>
    <x v="2"/>
    <s v="Duplicate recordings after sync"/>
    <x v="0"/>
    <x v="0"/>
    <n v="2.6"/>
    <n v="4"/>
    <x v="3"/>
    <s v="Resolved"/>
    <x v="1"/>
    <x v="1"/>
    <x v="2"/>
    <x v="0"/>
    <x v="0"/>
  </r>
  <r>
    <s v="PKT-4885"/>
    <s v="2026-06-10 10:53"/>
    <x v="1"/>
    <x v="0"/>
    <s v="Can't get it to pair after reset"/>
    <x v="0"/>
    <x v="1"/>
    <n v="13.3"/>
    <n v="8.6999999999999993"/>
    <x v="2"/>
    <s v="Resolved"/>
    <x v="1"/>
    <x v="0"/>
    <x v="1"/>
    <x v="0"/>
    <x v="1"/>
  </r>
  <r>
    <s v="PKT-4896"/>
    <s v="2026-06-10 11:42"/>
    <x v="0"/>
    <x v="2"/>
    <s v="Duplicate recordings after sync"/>
    <x v="0"/>
    <x v="0"/>
    <n v="0.9"/>
    <n v="11.3"/>
    <x v="3"/>
    <s v="Resolved"/>
    <x v="1"/>
    <x v="1"/>
    <x v="2"/>
    <x v="0"/>
    <x v="0"/>
  </r>
  <r>
    <s v="PKT-4883"/>
    <s v="2026-06-10 14:20"/>
    <x v="1"/>
    <x v="0"/>
    <s v="Bluetooth pairing fails"/>
    <x v="0"/>
    <x v="0"/>
    <n v="11.9"/>
    <n v="9.8000000000000007"/>
    <x v="4"/>
    <s v="Resolved"/>
    <x v="1"/>
    <x v="0"/>
    <x v="3"/>
    <x v="0"/>
    <x v="1"/>
  </r>
  <r>
    <s v="PKT-4892"/>
    <s v="2026-06-10 20:59"/>
    <x v="1"/>
    <x v="3"/>
    <s v="Dies overnight when idle"/>
    <x v="0"/>
    <x v="0"/>
    <n v="5.4"/>
    <n v="8.8000000000000007"/>
    <x v="2"/>
    <s v="Resolved"/>
    <x v="1"/>
    <x v="0"/>
    <x v="1"/>
    <x v="0"/>
    <x v="0"/>
  </r>
  <r>
    <s v="PKT-4912"/>
    <s v="2026-06-11 09:37"/>
    <x v="1"/>
    <x v="7"/>
    <s v="How do I export notes"/>
    <x v="0"/>
    <x v="0"/>
    <n v="5.2"/>
    <n v="19.399999999999999"/>
    <x v="2"/>
    <s v="Resolved"/>
    <x v="1"/>
    <x v="0"/>
    <x v="1"/>
    <x v="0"/>
    <x v="0"/>
  </r>
  <r>
    <s v="PKT-4889"/>
    <s v="2026-06-11 15:27"/>
    <x v="0"/>
    <x v="3"/>
    <s v="Dies overnight when idle"/>
    <x v="0"/>
    <x v="1"/>
    <n v="2.1"/>
    <n v="16.2"/>
    <x v="3"/>
    <s v="Resolved"/>
    <x v="1"/>
    <x v="1"/>
    <x v="2"/>
    <x v="0"/>
    <x v="0"/>
  </r>
  <r>
    <s v="PKT-4891"/>
    <s v="2026-06-11 16:51"/>
    <x v="0"/>
    <x v="3"/>
    <s v="Won't hold a charge"/>
    <x v="0"/>
    <x v="0"/>
    <n v="0.8"/>
    <n v="15"/>
    <x v="2"/>
    <s v="Resolved"/>
    <x v="1"/>
    <x v="0"/>
    <x v="1"/>
    <x v="0"/>
    <x v="0"/>
  </r>
  <r>
    <s v="PKT-4881"/>
    <s v="2026-06-11 17:43"/>
    <x v="0"/>
    <x v="0"/>
    <s v="Device dropped connection mid-meeting"/>
    <x v="0"/>
    <x v="1"/>
    <n v="1.5"/>
    <n v="25.5"/>
    <x v="0"/>
    <s v="Resolved"/>
    <x v="1"/>
    <x v="0"/>
    <x v="0"/>
    <x v="1"/>
    <x v="0"/>
  </r>
  <r>
    <s v="PKT-4884"/>
    <s v="2026-06-12 07:47"/>
    <x v="1"/>
    <x v="0"/>
    <s v="Pocket won't connect to my phone"/>
    <x v="0"/>
    <x v="0"/>
    <n v="10.8"/>
    <n v="8.3000000000000007"/>
    <x v="3"/>
    <s v="Resolved"/>
    <x v="1"/>
    <x v="1"/>
    <x v="2"/>
    <x v="0"/>
    <x v="1"/>
  </r>
  <r>
    <s v="PKT-4904"/>
    <s v="2026-06-12 11:36"/>
    <x v="0"/>
    <x v="4"/>
    <s v="Unexpected Pocket Pro charge"/>
    <x v="0"/>
    <x v="1"/>
    <n v="0.7"/>
    <n v="69.5"/>
    <x v="3"/>
    <s v="Resolved"/>
    <x v="1"/>
    <x v="1"/>
    <x v="2"/>
    <x v="2"/>
    <x v="0"/>
  </r>
  <r>
    <s v="PKT-4901"/>
    <s v="2026-06-12 14:28"/>
    <x v="1"/>
    <x v="6"/>
    <s v="Transcript cuts off partway"/>
    <x v="0"/>
    <x v="1"/>
    <n v="6.2"/>
    <n v="14.6"/>
    <x v="2"/>
    <s v="Resolved"/>
    <x v="1"/>
    <x v="0"/>
    <x v="1"/>
    <x v="0"/>
    <x v="1"/>
  </r>
  <r>
    <s v="PKT-4886"/>
    <s v="2026-06-12 18:16"/>
    <x v="0"/>
    <x v="0"/>
    <s v="Keeps disconnecting during calls"/>
    <x v="0"/>
    <x v="1"/>
    <n v="2.4"/>
    <n v="19"/>
    <x v="2"/>
    <s v="Resolved"/>
    <x v="1"/>
    <x v="0"/>
    <x v="1"/>
    <x v="0"/>
    <x v="0"/>
  </r>
  <r>
    <s v="PKT-4910"/>
    <s v="2026-06-12 18:20"/>
    <x v="0"/>
    <x v="1"/>
    <s v="Two accounts merged by mistake"/>
    <x v="0"/>
    <x v="1"/>
    <n v="2.4"/>
    <n v="2.2999999999999998"/>
    <x v="0"/>
    <s v="Resolved"/>
    <x v="1"/>
    <x v="0"/>
    <x v="0"/>
    <x v="0"/>
    <x v="0"/>
  </r>
  <r>
    <s v="PKT-4893"/>
    <s v="2026-06-12 20:20"/>
    <x v="1"/>
    <x v="3"/>
    <s v="Won't hold a charge"/>
    <x v="0"/>
    <x v="1"/>
    <n v="12.4"/>
    <n v="11.9"/>
    <x v="3"/>
    <s v="Resolved"/>
    <x v="1"/>
    <x v="1"/>
    <x v="2"/>
    <x v="0"/>
    <x v="1"/>
  </r>
  <r>
    <s v="PKT-4880"/>
    <s v="2026-06-13 18:47"/>
    <x v="1"/>
    <x v="0"/>
    <s v="Device dropped connection mid-meeting"/>
    <x v="0"/>
    <x v="1"/>
    <n v="1.4"/>
    <n v="15.7"/>
    <x v="3"/>
    <s v="Resolved"/>
    <x v="1"/>
    <x v="1"/>
    <x v="2"/>
    <x v="0"/>
    <x v="0"/>
  </r>
  <r>
    <s v="PKT-4882"/>
    <s v="2026-06-14 07:05"/>
    <x v="0"/>
    <x v="0"/>
    <s v="Bluetooth pairing fails"/>
    <x v="0"/>
    <x v="1"/>
    <n v="1"/>
    <n v="26.3"/>
    <x v="3"/>
    <s v="Resolved"/>
    <x v="1"/>
    <x v="1"/>
    <x v="2"/>
    <x v="1"/>
    <x v="0"/>
  </r>
  <r>
    <s v="PKT-4888"/>
    <s v="2026-06-14 10:06"/>
    <x v="0"/>
    <x v="3"/>
    <s v="Charging light not coming on"/>
    <x v="0"/>
    <x v="0"/>
    <n v="2"/>
    <n v="25.8"/>
    <x v="0"/>
    <s v="Resolved"/>
    <x v="1"/>
    <x v="0"/>
    <x v="0"/>
    <x v="1"/>
    <x v="0"/>
  </r>
  <r>
    <s v="PKT-4909"/>
    <s v="2026-06-14 11:44"/>
    <x v="1"/>
    <x v="1"/>
    <s v="Two accounts merged by mistake"/>
    <x v="0"/>
    <x v="0"/>
    <n v="1.5"/>
    <n v="10.3"/>
    <x v="2"/>
    <s v="Resolved"/>
    <x v="1"/>
    <x v="0"/>
    <x v="1"/>
    <x v="0"/>
    <x v="0"/>
  </r>
  <r>
    <s v="PKT-4897"/>
    <s v="2026-06-14 14:17"/>
    <x v="1"/>
    <x v="2"/>
    <s v="Recordings not showing up in app"/>
    <x v="0"/>
    <x v="1"/>
    <n v="10.7"/>
    <n v="2.9"/>
    <x v="3"/>
    <s v="Resolved"/>
    <x v="1"/>
    <x v="1"/>
    <x v="2"/>
    <x v="0"/>
    <x v="1"/>
  </r>
  <r>
    <s v="PKT-4895"/>
    <s v="2026-06-14 14:41"/>
    <x v="0"/>
    <x v="2"/>
    <s v="Sync stuck at 0%"/>
    <x v="0"/>
    <x v="0"/>
    <n v="1"/>
    <n v="16"/>
    <x v="3"/>
    <s v="Resolved"/>
    <x v="1"/>
    <x v="1"/>
    <x v="2"/>
    <x v="0"/>
    <x v="0"/>
  </r>
  <r>
    <s v="PKT-4907"/>
    <s v="2026-06-14 16:42"/>
    <x v="0"/>
    <x v="5"/>
    <s v="Device arrived damaged"/>
    <x v="0"/>
    <x v="1"/>
    <n v="2.2999999999999998"/>
    <n v="32.4"/>
    <x v="4"/>
    <s v="Resolved"/>
    <x v="1"/>
    <x v="0"/>
    <x v="3"/>
    <x v="1"/>
    <x v="0"/>
  </r>
  <r>
    <s v="PKT-4894"/>
    <s v="2026-06-14 21:17"/>
    <x v="0"/>
    <x v="2"/>
    <s v="Duplicate recordings after sync"/>
    <x v="0"/>
    <x v="1"/>
    <n v="1.9"/>
    <n v="2.2000000000000002"/>
    <x v="2"/>
    <s v="Resolved"/>
    <x v="1"/>
    <x v="0"/>
    <x v="1"/>
    <x v="0"/>
    <x v="0"/>
  </r>
  <r>
    <s v="PKT-4908"/>
    <s v="2026-06-15 09:04"/>
    <x v="1"/>
    <x v="1"/>
    <s v="Email on file is wrong"/>
    <x v="0"/>
    <x v="0"/>
    <n v="2.6"/>
    <n v="12.1"/>
    <x v="1"/>
    <s v="Resolved"/>
    <x v="1"/>
    <x v="0"/>
    <x v="1"/>
    <x v="0"/>
    <x v="0"/>
  </r>
  <r>
    <s v="PKT-4911"/>
    <s v="2026-06-15 17:52"/>
    <x v="1"/>
    <x v="7"/>
    <s v="App crashes on open"/>
    <x v="0"/>
    <x v="1"/>
    <n v="9.5"/>
    <n v="15.4"/>
    <x v="3"/>
    <s v="Resolved"/>
    <x v="1"/>
    <x v="1"/>
    <x v="2"/>
    <x v="0"/>
    <x v="1"/>
  </r>
  <r>
    <s v="PKT-4898"/>
    <s v="2026-06-15 18:11"/>
    <x v="1"/>
    <x v="2"/>
    <s v="Duplicate recordings after sync"/>
    <x v="0"/>
    <x v="0"/>
    <n v="4.7"/>
    <n v="5.9"/>
    <x v="0"/>
    <s v="Resolved"/>
    <x v="1"/>
    <x v="0"/>
    <x v="0"/>
    <x v="0"/>
    <x v="0"/>
  </r>
  <r>
    <s v="PKT-4917"/>
    <s v="2026-06-16 15:26"/>
    <x v="1"/>
    <x v="0"/>
    <s v="Keeps disconnecting during calls"/>
    <x v="0"/>
    <x v="1"/>
    <n v="7.5"/>
    <n v="14.9"/>
    <x v="3"/>
    <s v="Resolved"/>
    <x v="1"/>
    <x v="1"/>
    <x v="2"/>
    <x v="0"/>
    <x v="1"/>
  </r>
  <r>
    <s v="PKT-4942"/>
    <s v="2026-06-16 17:52"/>
    <x v="1"/>
    <x v="1"/>
    <s v="Can't log in to app"/>
    <x v="0"/>
    <x v="0"/>
    <n v="13.3"/>
    <n v="13.2"/>
    <x v="3"/>
    <s v="Resolved"/>
    <x v="1"/>
    <x v="1"/>
    <x v="2"/>
    <x v="0"/>
    <x v="1"/>
  </r>
  <r>
    <s v="PKT-4945"/>
    <s v="2026-06-17 14:28"/>
    <x v="0"/>
    <x v="7"/>
    <s v="How do I export notes"/>
    <x v="0"/>
    <x v="0"/>
    <n v="0.2"/>
    <n v="2.4"/>
    <x v="0"/>
    <s v="Resolved"/>
    <x v="1"/>
    <x v="0"/>
    <x v="0"/>
    <x v="0"/>
    <x v="0"/>
  </r>
  <r>
    <s v="PKT-4930"/>
    <s v="2026-06-17 14:58"/>
    <x v="0"/>
    <x v="6"/>
    <s v="Only first few minutes transcribed"/>
    <x v="0"/>
    <x v="1"/>
    <n v="1.7"/>
    <n v="21.7"/>
    <x v="3"/>
    <s v="Resolved"/>
    <x v="1"/>
    <x v="1"/>
    <x v="2"/>
    <x v="0"/>
    <x v="0"/>
  </r>
  <r>
    <s v="PKT-4929"/>
    <s v="2026-06-17 15:26"/>
    <x v="0"/>
    <x v="2"/>
    <s v="App won't sync over wifi"/>
    <x v="0"/>
    <x v="1"/>
    <n v="1.6"/>
    <n v="3.8"/>
    <x v="3"/>
    <s v="Resolved"/>
    <x v="1"/>
    <x v="1"/>
    <x v="2"/>
    <x v="0"/>
    <x v="0"/>
  </r>
  <r>
    <s v="PKT-4922"/>
    <s v="2026-06-17 16:24"/>
    <x v="1"/>
    <x v="3"/>
    <s v="Dies overnight when idle"/>
    <x v="0"/>
    <x v="0"/>
    <n v="6"/>
    <n v="3.2"/>
    <x v="1"/>
    <s v="Resolved"/>
    <x v="1"/>
    <x v="0"/>
    <x v="1"/>
    <x v="0"/>
    <x v="0"/>
  </r>
  <r>
    <s v="PKT-4941"/>
    <s v="2026-06-18 08:43"/>
    <x v="1"/>
    <x v="1"/>
    <s v="Two accounts merged by mistake"/>
    <x v="0"/>
    <x v="1"/>
    <n v="3.9"/>
    <n v="12.6"/>
    <x v="1"/>
    <s v="Resolved"/>
    <x v="1"/>
    <x v="0"/>
    <x v="1"/>
    <x v="0"/>
    <x v="0"/>
  </r>
  <r>
    <s v="PKT-4935"/>
    <s v="2026-06-18 10:40"/>
    <x v="1"/>
    <x v="4"/>
    <s v="Unexpected Pocket Pro charge"/>
    <x v="0"/>
    <x v="0"/>
    <n v="9.1999999999999993"/>
    <n v="56.5"/>
    <x v="4"/>
    <s v="Resolved"/>
    <x v="1"/>
    <x v="0"/>
    <x v="3"/>
    <x v="2"/>
    <x v="1"/>
  </r>
  <r>
    <s v="PKT-4943"/>
    <s v="2026-06-18 14:07"/>
    <x v="1"/>
    <x v="7"/>
    <s v="App crashes on open"/>
    <x v="0"/>
    <x v="1"/>
    <n v="6.4"/>
    <n v="8.1"/>
    <x v="1"/>
    <s v="Resolved"/>
    <x v="1"/>
    <x v="0"/>
    <x v="1"/>
    <x v="0"/>
    <x v="1"/>
  </r>
  <r>
    <s v="PKT-4916"/>
    <s v="2026-06-18 14:56"/>
    <x v="0"/>
    <x v="0"/>
    <s v="Keeps disconnecting during calls"/>
    <x v="0"/>
    <x v="1"/>
    <n v="0.8"/>
    <n v="2.8"/>
    <x v="0"/>
    <s v="Resolved"/>
    <x v="1"/>
    <x v="0"/>
    <x v="0"/>
    <x v="0"/>
    <x v="0"/>
  </r>
  <r>
    <s v="PKT-4915"/>
    <s v="2026-06-18 16:48"/>
    <x v="1"/>
    <x v="0"/>
    <s v="Can't get it to pair after reset"/>
    <x v="0"/>
    <x v="0"/>
    <n v="2.7"/>
    <n v="23.3"/>
    <x v="3"/>
    <s v="Resolved"/>
    <x v="1"/>
    <x v="1"/>
    <x v="2"/>
    <x v="0"/>
    <x v="0"/>
  </r>
  <r>
    <s v="PKT-4937"/>
    <s v="2026-06-18 18:26"/>
    <x v="1"/>
    <x v="5"/>
    <s v="Return label not received"/>
    <x v="0"/>
    <x v="1"/>
    <n v="7.5"/>
    <n v="49.8"/>
    <x v="2"/>
    <s v="Resolved"/>
    <x v="1"/>
    <x v="0"/>
    <x v="1"/>
    <x v="2"/>
    <x v="1"/>
  </r>
  <r>
    <s v="PKT-4924"/>
    <s v="2026-06-18 20:06"/>
    <x v="0"/>
    <x v="3"/>
    <s v="Only lasts a couple of hours now"/>
    <x v="0"/>
    <x v="0"/>
    <n v="1.1000000000000001"/>
    <n v="4.8"/>
    <x v="0"/>
    <s v="Resolved"/>
    <x v="1"/>
    <x v="0"/>
    <x v="0"/>
    <x v="0"/>
    <x v="0"/>
  </r>
  <r>
    <s v="PKT-4938"/>
    <s v="2026-06-18 20:10"/>
    <x v="1"/>
    <x v="5"/>
    <s v="Warranty claim for dead unit"/>
    <x v="0"/>
    <x v="0"/>
    <n v="11.5"/>
    <n v="58.4"/>
    <x v="3"/>
    <s v="Resolved"/>
    <x v="1"/>
    <x v="1"/>
    <x v="2"/>
    <x v="2"/>
    <x v="1"/>
  </r>
  <r>
    <s v="PKT-4939"/>
    <s v="2026-06-19 08:09"/>
    <x v="0"/>
    <x v="5"/>
    <s v="Return label not received"/>
    <x v="0"/>
    <x v="1"/>
    <n v="0.9"/>
    <n v="53.3"/>
    <x v="1"/>
    <s v="Resolved"/>
    <x v="1"/>
    <x v="0"/>
    <x v="1"/>
    <x v="2"/>
    <x v="0"/>
  </r>
  <r>
    <s v="PKT-4919"/>
    <s v="2026-06-19 10:58"/>
    <x v="0"/>
    <x v="0"/>
    <s v="Device dropped connection mid-meeting"/>
    <x v="0"/>
    <x v="1"/>
    <n v="0.9"/>
    <n v="26.2"/>
    <x v="3"/>
    <s v="Resolved"/>
    <x v="1"/>
    <x v="1"/>
    <x v="2"/>
    <x v="1"/>
    <x v="0"/>
  </r>
  <r>
    <s v="PKT-4921"/>
    <s v="2026-06-19 15:30"/>
    <x v="1"/>
    <x v="3"/>
    <s v="Only lasts a couple of hours now"/>
    <x v="0"/>
    <x v="0"/>
    <n v="13.8"/>
    <n v="14.7"/>
    <x v="3"/>
    <s v="Resolved"/>
    <x v="1"/>
    <x v="1"/>
    <x v="2"/>
    <x v="0"/>
    <x v="1"/>
  </r>
  <r>
    <s v="PKT-4932"/>
    <s v="2026-06-19 18:16"/>
    <x v="1"/>
    <x v="6"/>
    <s v="Transcript cuts off partway"/>
    <x v="0"/>
    <x v="0"/>
    <n v="4.0999999999999996"/>
    <n v="12.8"/>
    <x v="0"/>
    <s v="Resolved"/>
    <x v="1"/>
    <x v="0"/>
    <x v="0"/>
    <x v="0"/>
    <x v="0"/>
  </r>
  <r>
    <s v="PKT-4914"/>
    <s v="2026-06-19 20:32"/>
    <x v="0"/>
    <x v="0"/>
    <s v="Pocket won't connect to my phone"/>
    <x v="0"/>
    <x v="1"/>
    <n v="0.5"/>
    <n v="20.399999999999999"/>
    <x v="4"/>
    <s v="Resolved"/>
    <x v="1"/>
    <x v="0"/>
    <x v="3"/>
    <x v="0"/>
    <x v="0"/>
  </r>
  <r>
    <s v="PKT-4913"/>
    <s v="2026-06-19 20:48"/>
    <x v="0"/>
    <x v="0"/>
    <s v="Pocket won't connect to my phone"/>
    <x v="0"/>
    <x v="0"/>
    <n v="2.4"/>
    <n v="4.5"/>
    <x v="3"/>
    <s v="Resolved"/>
    <x v="1"/>
    <x v="1"/>
    <x v="2"/>
    <x v="0"/>
    <x v="0"/>
  </r>
  <r>
    <s v="PKT-4933"/>
    <s v="2026-06-20 12:36"/>
    <x v="1"/>
    <x v="4"/>
    <s v="Refund never arrived"/>
    <x v="0"/>
    <x v="0"/>
    <n v="1.1000000000000001"/>
    <n v="25.1"/>
    <x v="5"/>
    <s v="Resolved"/>
    <x v="1"/>
    <x v="0"/>
    <x v="3"/>
    <x v="1"/>
    <x v="0"/>
  </r>
  <r>
    <s v="PKT-4925"/>
    <s v="2026-06-21 09:04"/>
    <x v="1"/>
    <x v="2"/>
    <s v="Recordings not showing up in app"/>
    <x v="0"/>
    <x v="0"/>
    <n v="12.1"/>
    <n v="7.1"/>
    <x v="1"/>
    <s v="Resolved"/>
    <x v="1"/>
    <x v="0"/>
    <x v="1"/>
    <x v="0"/>
    <x v="1"/>
  </r>
  <r>
    <s v="PKT-4918"/>
    <s v="2026-06-21 11:32"/>
    <x v="0"/>
    <x v="0"/>
    <s v="Device dropped connection mid-meeting"/>
    <x v="0"/>
    <x v="0"/>
    <n v="1.4"/>
    <n v="25.4"/>
    <x v="0"/>
    <s v="Resolved"/>
    <x v="1"/>
    <x v="0"/>
    <x v="0"/>
    <x v="1"/>
    <x v="0"/>
  </r>
  <r>
    <s v="PKT-4928"/>
    <s v="2026-06-21 11:57"/>
    <x v="1"/>
    <x v="2"/>
    <s v="Old recordings missing after update"/>
    <x v="0"/>
    <x v="0"/>
    <n v="6.6"/>
    <n v="16"/>
    <x v="3"/>
    <s v="Resolved"/>
    <x v="1"/>
    <x v="1"/>
    <x v="2"/>
    <x v="0"/>
    <x v="1"/>
  </r>
  <r>
    <s v="PKT-4936"/>
    <s v="2026-06-21 17:02"/>
    <x v="1"/>
    <x v="4"/>
    <s v="Charged after I cancelled"/>
    <x v="0"/>
    <x v="0"/>
    <n v="12.8"/>
    <n v="25.6"/>
    <x v="0"/>
    <s v="Resolved"/>
    <x v="1"/>
    <x v="0"/>
    <x v="0"/>
    <x v="1"/>
    <x v="1"/>
  </r>
  <r>
    <s v="PKT-4944"/>
    <s v="2026-06-21 18:09"/>
    <x v="0"/>
    <x v="7"/>
    <s v="Feature request: folders"/>
    <x v="0"/>
    <x v="1"/>
    <n v="1.7"/>
    <n v="16.8"/>
    <x v="1"/>
    <s v="Resolved"/>
    <x v="1"/>
    <x v="0"/>
    <x v="1"/>
    <x v="0"/>
    <x v="0"/>
  </r>
  <r>
    <s v="PKT-4923"/>
    <s v="2026-06-21 19:52"/>
    <x v="0"/>
    <x v="3"/>
    <s v="Charging light not coming on"/>
    <x v="0"/>
    <x v="1"/>
    <n v="2.4"/>
    <n v="15.9"/>
    <x v="3"/>
    <s v="Resolved"/>
    <x v="1"/>
    <x v="1"/>
    <x v="2"/>
    <x v="0"/>
    <x v="0"/>
  </r>
  <r>
    <s v="PKT-4927"/>
    <s v="2026-06-21 21:18"/>
    <x v="0"/>
    <x v="2"/>
    <s v="Recordings not showing up in app"/>
    <x v="0"/>
    <x v="1"/>
    <n v="1.1000000000000001"/>
    <n v="9"/>
    <x v="3"/>
    <s v="Resolved"/>
    <x v="1"/>
    <x v="1"/>
    <x v="2"/>
    <x v="0"/>
    <x v="0"/>
  </r>
  <r>
    <s v="PKT-4940"/>
    <s v="2026-06-22 13:00"/>
    <x v="1"/>
    <x v="1"/>
    <s v="Email on file is wrong"/>
    <x v="1"/>
    <x v="0"/>
    <n v="11.7"/>
    <n v="13.6"/>
    <x v="0"/>
    <s v="Resolved"/>
    <x v="1"/>
    <x v="0"/>
    <x v="0"/>
    <x v="0"/>
    <x v="1"/>
  </r>
  <r>
    <s v="PKT-4931"/>
    <s v="2026-06-22 14:57"/>
    <x v="1"/>
    <x v="6"/>
    <s v="Garbled transcript on long recording"/>
    <x v="1"/>
    <x v="1"/>
    <n v="4.9000000000000004"/>
    <n v="29.4"/>
    <x v="3"/>
    <s v="Resolved"/>
    <x v="1"/>
    <x v="1"/>
    <x v="2"/>
    <x v="1"/>
    <x v="0"/>
  </r>
  <r>
    <s v="PKT-4920"/>
    <s v="2026-06-22 15:17"/>
    <x v="0"/>
    <x v="3"/>
    <s v="Dies overnight when idle"/>
    <x v="1"/>
    <x v="0"/>
    <n v="2.2000000000000002"/>
    <n v="25.4"/>
    <x v="1"/>
    <s v="Resolved"/>
    <x v="1"/>
    <x v="0"/>
    <x v="1"/>
    <x v="1"/>
    <x v="0"/>
  </r>
  <r>
    <s v="PKT-4934"/>
    <s v="2026-06-22 17:49"/>
    <x v="0"/>
    <x v="4"/>
    <s v="Unexpected Pocket Pro charge"/>
    <x v="0"/>
    <x v="0"/>
    <n v="1.5"/>
    <n v="64"/>
    <x v="2"/>
    <s v="Resolved"/>
    <x v="1"/>
    <x v="0"/>
    <x v="1"/>
    <x v="2"/>
    <x v="0"/>
  </r>
  <r>
    <s v="PKT-4926"/>
    <s v="2026-06-22 17:54"/>
    <x v="1"/>
    <x v="2"/>
    <s v="Recordings not showing up in app"/>
    <x v="1"/>
    <x v="0"/>
    <n v="4.0999999999999996"/>
    <n v="17.5"/>
    <x v="3"/>
    <s v="Resolved"/>
    <x v="1"/>
    <x v="1"/>
    <x v="2"/>
    <x v="0"/>
    <x v="0"/>
  </r>
  <r>
    <s v="PKT-4968"/>
    <s v="2026-06-23 13:55"/>
    <x v="1"/>
    <x v="6"/>
    <s v="Transcript cuts off partway"/>
    <x v="1"/>
    <x v="0"/>
    <n v="7.9"/>
    <n v="45.5"/>
    <x v="3"/>
    <s v="Resolved"/>
    <x v="1"/>
    <x v="1"/>
    <x v="2"/>
    <x v="1"/>
    <x v="1"/>
  </r>
  <r>
    <s v="PKT-4975"/>
    <s v="2026-06-23 15:41"/>
    <x v="1"/>
    <x v="4"/>
    <s v="Unexpected Pocket Pro charge"/>
    <x v="1"/>
    <x v="0"/>
    <n v="5.7"/>
    <n v="71.599999999999994"/>
    <x v="0"/>
    <s v="Resolved"/>
    <x v="1"/>
    <x v="0"/>
    <x v="0"/>
    <x v="2"/>
    <x v="0"/>
  </r>
  <r>
    <s v="PKT-4957"/>
    <s v="2026-06-23 16:32"/>
    <x v="1"/>
    <x v="3"/>
    <s v="Won't hold a charge"/>
    <x v="1"/>
    <x v="1"/>
    <n v="2.5"/>
    <n v="25.7"/>
    <x v="2"/>
    <s v="Resolved"/>
    <x v="1"/>
    <x v="0"/>
    <x v="1"/>
    <x v="1"/>
    <x v="0"/>
  </r>
  <r>
    <s v="PKT-4973"/>
    <s v="2026-06-23 17:55"/>
    <x v="0"/>
    <x v="6"/>
    <s v="Transcript cuts off partway"/>
    <x v="0"/>
    <x v="0"/>
    <n v="1.2"/>
    <n v="30.4"/>
    <x v="2"/>
    <s v="Resolved"/>
    <x v="1"/>
    <x v="0"/>
    <x v="1"/>
    <x v="1"/>
    <x v="0"/>
  </r>
  <r>
    <s v="PKT-4953"/>
    <s v="2026-06-23 19:44"/>
    <x v="1"/>
    <x v="0"/>
    <s v="Bluetooth pairing fails"/>
    <x v="1"/>
    <x v="1"/>
    <n v="11.8"/>
    <n v="14"/>
    <x v="4"/>
    <s v="Resolved"/>
    <x v="1"/>
    <x v="0"/>
    <x v="3"/>
    <x v="0"/>
    <x v="1"/>
  </r>
  <r>
    <s v="PKT-4966"/>
    <s v="2026-06-23 20:20"/>
    <x v="0"/>
    <x v="6"/>
    <s v="Transcript is blank"/>
    <x v="1"/>
    <x v="0"/>
    <n v="2"/>
    <n v="22.2"/>
    <x v="0"/>
    <s v="Resolved"/>
    <x v="1"/>
    <x v="0"/>
    <x v="0"/>
    <x v="0"/>
    <x v="0"/>
  </r>
  <r>
    <s v="PKT-4948"/>
    <s v="2026-06-24 08:42"/>
    <x v="0"/>
    <x v="0"/>
    <s v="Bluetooth pairing fails"/>
    <x v="1"/>
    <x v="0"/>
    <n v="0.1"/>
    <n v="24.1"/>
    <x v="3"/>
    <s v="Resolved"/>
    <x v="1"/>
    <x v="1"/>
    <x v="2"/>
    <x v="1"/>
    <x v="0"/>
  </r>
  <r>
    <s v="PKT-4984"/>
    <s v="2026-06-24 12:43"/>
    <x v="0"/>
    <x v="7"/>
    <s v="App crashes on open"/>
    <x v="1"/>
    <x v="0"/>
    <n v="1.1000000000000001"/>
    <n v="15.5"/>
    <x v="0"/>
    <s v="Resolved"/>
    <x v="1"/>
    <x v="0"/>
    <x v="0"/>
    <x v="0"/>
    <x v="0"/>
  </r>
  <r>
    <s v="PKT-4980"/>
    <s v="2026-06-24 12:49"/>
    <x v="1"/>
    <x v="5"/>
    <s v="How do I return my Pocket"/>
    <x v="1"/>
    <x v="1"/>
    <n v="7.6"/>
    <n v="19.399999999999999"/>
    <x v="3"/>
    <s v="Resolved"/>
    <x v="1"/>
    <x v="1"/>
    <x v="2"/>
    <x v="0"/>
    <x v="1"/>
  </r>
  <r>
    <s v="PKT-4983"/>
    <s v="2026-06-24 14:39"/>
    <x v="1"/>
    <x v="7"/>
    <s v="General question about privacy"/>
    <x v="1"/>
    <x v="0"/>
    <n v="12.8"/>
    <n v="5.0999999999999996"/>
    <x v="3"/>
    <s v="Resolved"/>
    <x v="1"/>
    <x v="1"/>
    <x v="2"/>
    <x v="0"/>
    <x v="1"/>
  </r>
  <r>
    <s v="PKT-4964"/>
    <s v="2026-06-24 19:08"/>
    <x v="0"/>
    <x v="6"/>
    <s v="Transcript is blank"/>
    <x v="1"/>
    <x v="1"/>
    <n v="1"/>
    <n v="8.8000000000000007"/>
    <x v="4"/>
    <s v="Resolved"/>
    <x v="1"/>
    <x v="0"/>
    <x v="3"/>
    <x v="0"/>
    <x v="0"/>
  </r>
  <r>
    <s v="PKT-4970"/>
    <s v="2026-06-24 19:48"/>
    <x v="0"/>
    <x v="6"/>
    <s v="Transcription stuck processing"/>
    <x v="1"/>
    <x v="0"/>
    <n v="1.7"/>
    <n v="30.5"/>
    <x v="5"/>
    <s v="Resolved"/>
    <x v="1"/>
    <x v="0"/>
    <x v="3"/>
    <x v="1"/>
    <x v="0"/>
  </r>
  <r>
    <s v="PKT-4985"/>
    <s v="2026-06-24 20:12"/>
    <x v="0"/>
    <x v="7"/>
    <s v="App crashes on open"/>
    <x v="1"/>
    <x v="0"/>
    <n v="2.2999999999999998"/>
    <n v="1.5"/>
    <x v="1"/>
    <s v="Resolved"/>
    <x v="1"/>
    <x v="0"/>
    <x v="1"/>
    <x v="0"/>
    <x v="0"/>
  </r>
  <r>
    <s v="PKT-4982"/>
    <s v="2026-06-24 20:44"/>
    <x v="0"/>
    <x v="1"/>
    <s v="Locked out of my account"/>
    <x v="1"/>
    <x v="1"/>
    <n v="1.7"/>
    <n v="14.6"/>
    <x v="3"/>
    <s v="Resolved"/>
    <x v="1"/>
    <x v="1"/>
    <x v="2"/>
    <x v="0"/>
    <x v="0"/>
  </r>
  <r>
    <s v="PKT-4947"/>
    <s v="2026-06-24 20:55"/>
    <x v="1"/>
    <x v="0"/>
    <s v="Can't get it to pair after reset"/>
    <x v="1"/>
    <x v="1"/>
    <n v="4.3"/>
    <n v="9.8000000000000007"/>
    <x v="2"/>
    <s v="Resolved"/>
    <x v="1"/>
    <x v="0"/>
    <x v="1"/>
    <x v="0"/>
    <x v="0"/>
  </r>
  <r>
    <s v="PKT-4969"/>
    <s v="2026-06-24 21:49"/>
    <x v="1"/>
    <x v="6"/>
    <s v="Transcript is blank"/>
    <x v="1"/>
    <x v="1"/>
    <n v="3.3"/>
    <n v="19.600000000000001"/>
    <x v="3"/>
    <s v="Resolved"/>
    <x v="1"/>
    <x v="1"/>
    <x v="2"/>
    <x v="0"/>
    <x v="0"/>
  </r>
  <r>
    <s v="PKT-4949"/>
    <s v="2026-06-25 07:08"/>
    <x v="0"/>
    <x v="0"/>
    <s v="Device dropped connection mid-meeting"/>
    <x v="1"/>
    <x v="1"/>
    <n v="1.3"/>
    <n v="15.3"/>
    <x v="2"/>
    <s v="Resolved"/>
    <x v="1"/>
    <x v="0"/>
    <x v="1"/>
    <x v="0"/>
    <x v="0"/>
  </r>
  <r>
    <s v="PKT-4976"/>
    <s v="2026-06-25 13:26"/>
    <x v="0"/>
    <x v="4"/>
    <s v="Refund never arrived"/>
    <x v="1"/>
    <x v="1"/>
    <n v="0.3"/>
    <n v="61.9"/>
    <x v="4"/>
    <s v="Resolved"/>
    <x v="1"/>
    <x v="0"/>
    <x v="3"/>
    <x v="2"/>
    <x v="0"/>
  </r>
  <r>
    <s v="PKT-4958"/>
    <s v="2026-06-25 16:14"/>
    <x v="0"/>
    <x v="3"/>
    <s v="Won't hold a charge"/>
    <x v="1"/>
    <x v="1"/>
    <n v="0.1"/>
    <n v="19.100000000000001"/>
    <x v="1"/>
    <s v="Resolved"/>
    <x v="1"/>
    <x v="0"/>
    <x v="1"/>
    <x v="0"/>
    <x v="0"/>
  </r>
  <r>
    <s v="PKT-4952"/>
    <s v="2026-06-25 16:40"/>
    <x v="0"/>
    <x v="0"/>
    <s v="Can't get it to pair after reset"/>
    <x v="1"/>
    <x v="0"/>
    <n v="1.5"/>
    <n v="29.8"/>
    <x v="2"/>
    <s v="Resolved"/>
    <x v="1"/>
    <x v="0"/>
    <x v="1"/>
    <x v="1"/>
    <x v="0"/>
  </r>
  <r>
    <s v="PKT-4959"/>
    <s v="2026-06-25 18:48"/>
    <x v="1"/>
    <x v="3"/>
    <s v="Dies overnight when idle"/>
    <x v="1"/>
    <x v="1"/>
    <n v="1.9"/>
    <n v="7.1"/>
    <x v="3"/>
    <s v="Resolved"/>
    <x v="1"/>
    <x v="1"/>
    <x v="2"/>
    <x v="0"/>
    <x v="0"/>
  </r>
  <r>
    <s v="PKT-4961"/>
    <s v="2026-06-25 19:36"/>
    <x v="0"/>
    <x v="2"/>
    <s v="Recordings not showing up in app"/>
    <x v="1"/>
    <x v="1"/>
    <n v="0.7"/>
    <n v="3.6"/>
    <x v="1"/>
    <s v="Resolved"/>
    <x v="1"/>
    <x v="0"/>
    <x v="1"/>
    <x v="0"/>
    <x v="0"/>
  </r>
  <r>
    <s v="PKT-4954"/>
    <s v="2026-06-26 13:46"/>
    <x v="1"/>
    <x v="0"/>
    <s v="Device dropped connection mid-meeting"/>
    <x v="1"/>
    <x v="0"/>
    <n v="1.9"/>
    <n v="12.5"/>
    <x v="3"/>
    <s v="Resolved"/>
    <x v="1"/>
    <x v="1"/>
    <x v="2"/>
    <x v="0"/>
    <x v="0"/>
  </r>
  <r>
    <s v="PKT-4951"/>
    <s v="2026-06-26 17:06"/>
    <x v="1"/>
    <x v="0"/>
    <s v="Keeps disconnecting during calls"/>
    <x v="1"/>
    <x v="1"/>
    <n v="1.9"/>
    <n v="27.2"/>
    <x v="3"/>
    <s v="Resolved"/>
    <x v="1"/>
    <x v="1"/>
    <x v="2"/>
    <x v="1"/>
    <x v="0"/>
  </r>
  <r>
    <s v="PKT-4950"/>
    <s v="2026-06-27 07:46"/>
    <x v="0"/>
    <x v="0"/>
    <s v="Device dropped connection mid-meeting"/>
    <x v="1"/>
    <x v="0"/>
    <n v="2.1"/>
    <n v="14.8"/>
    <x v="0"/>
    <s v="Resolved"/>
    <x v="1"/>
    <x v="0"/>
    <x v="0"/>
    <x v="0"/>
    <x v="0"/>
  </r>
  <r>
    <s v="PKT-4967"/>
    <s v="2026-06-27 14:53"/>
    <x v="0"/>
    <x v="6"/>
    <s v="Garbled transcript on long recording"/>
    <x v="1"/>
    <x v="0"/>
    <n v="1"/>
    <n v="48.6"/>
    <x v="3"/>
    <s v="Resolved"/>
    <x v="1"/>
    <x v="1"/>
    <x v="2"/>
    <x v="2"/>
    <x v="0"/>
  </r>
  <r>
    <s v="PKT-4971"/>
    <s v="2026-06-27 17:40"/>
    <x v="0"/>
    <x v="6"/>
    <s v="Transcription stuck processing"/>
    <x v="1"/>
    <x v="0"/>
    <n v="1.6"/>
    <n v="15.6"/>
    <x v="3"/>
    <s v="Resolved"/>
    <x v="1"/>
    <x v="1"/>
    <x v="2"/>
    <x v="0"/>
    <x v="0"/>
  </r>
  <r>
    <s v="PKT-4981"/>
    <s v="2026-06-27 20:47"/>
    <x v="0"/>
    <x v="1"/>
    <s v="Email on file is wrong"/>
    <x v="0"/>
    <x v="0"/>
    <n v="0.4"/>
    <n v="17.600000000000001"/>
    <x v="0"/>
    <s v="Resolved"/>
    <x v="1"/>
    <x v="0"/>
    <x v="0"/>
    <x v="0"/>
    <x v="0"/>
  </r>
  <r>
    <s v="PKT-4956"/>
    <s v="2026-06-28 08:26"/>
    <x v="1"/>
    <x v="3"/>
    <s v="Charging light not coming on"/>
    <x v="1"/>
    <x v="0"/>
    <n v="5.0999999999999996"/>
    <n v="26.3"/>
    <x v="2"/>
    <s v="Resolved"/>
    <x v="1"/>
    <x v="0"/>
    <x v="1"/>
    <x v="1"/>
    <x v="0"/>
  </r>
  <r>
    <s v="PKT-4965"/>
    <s v="2026-06-28 10:32"/>
    <x v="0"/>
    <x v="6"/>
    <s v="Transcription stuck processing"/>
    <x v="1"/>
    <x v="0"/>
    <n v="0.1"/>
    <n v="11.8"/>
    <x v="4"/>
    <s v="Resolved"/>
    <x v="1"/>
    <x v="0"/>
    <x v="3"/>
    <x v="0"/>
    <x v="0"/>
  </r>
  <r>
    <s v="PKT-4977"/>
    <s v="2026-06-28 13:18"/>
    <x v="1"/>
    <x v="5"/>
    <s v="Warranty claim for dead unit"/>
    <x v="1"/>
    <x v="1"/>
    <n v="5"/>
    <n v="28"/>
    <x v="2"/>
    <s v="Resolved"/>
    <x v="1"/>
    <x v="0"/>
    <x v="1"/>
    <x v="1"/>
    <x v="0"/>
  </r>
  <r>
    <s v="PKT-4962"/>
    <s v="2026-06-28 13:31"/>
    <x v="0"/>
    <x v="2"/>
    <s v="App won't sync over wifi"/>
    <x v="1"/>
    <x v="1"/>
    <n v="0.3"/>
    <n v="15.2"/>
    <x v="3"/>
    <s v="Resolved"/>
    <x v="1"/>
    <x v="1"/>
    <x v="2"/>
    <x v="0"/>
    <x v="0"/>
  </r>
  <r>
    <s v="PKT-4946"/>
    <s v="2026-06-28 16:01"/>
    <x v="1"/>
    <x v="0"/>
    <s v="Can't get it to pair after reset"/>
    <x v="1"/>
    <x v="1"/>
    <n v="3.7"/>
    <n v="24"/>
    <x v="3"/>
    <s v="Resolved"/>
    <x v="1"/>
    <x v="1"/>
    <x v="2"/>
    <x v="0"/>
    <x v="0"/>
  </r>
  <r>
    <s v="PKT-4960"/>
    <s v="2026-06-28 17:01"/>
    <x v="1"/>
    <x v="2"/>
    <s v="Old recordings missing after update"/>
    <x v="1"/>
    <x v="0"/>
    <n v="5.0999999999999996"/>
    <n v="8.6999999999999993"/>
    <x v="3"/>
    <s v="Resolved"/>
    <x v="1"/>
    <x v="1"/>
    <x v="2"/>
    <x v="0"/>
    <x v="0"/>
  </r>
  <r>
    <s v="PKT-4963"/>
    <s v="2026-06-28 17:37"/>
    <x v="1"/>
    <x v="6"/>
    <s v="Transcript cuts off partway"/>
    <x v="1"/>
    <x v="1"/>
    <n v="3.7"/>
    <n v="18.899999999999999"/>
    <x v="4"/>
    <s v="Resolved"/>
    <x v="1"/>
    <x v="0"/>
    <x v="3"/>
    <x v="0"/>
    <x v="0"/>
  </r>
  <r>
    <s v="PKT-4978"/>
    <s v="2026-06-28 18:42"/>
    <x v="1"/>
    <x v="5"/>
    <s v="Device arrived damaged"/>
    <x v="1"/>
    <x v="1"/>
    <n v="9.6999999999999993"/>
    <n v="26.9"/>
    <x v="2"/>
    <s v="Resolved"/>
    <x v="1"/>
    <x v="0"/>
    <x v="1"/>
    <x v="1"/>
    <x v="1"/>
  </r>
  <r>
    <s v="PKT-4955"/>
    <s v="2026-06-29 08:05"/>
    <x v="1"/>
    <x v="3"/>
    <s v="Charging light not coming on"/>
    <x v="1"/>
    <x v="0"/>
    <n v="8.3000000000000007"/>
    <n v="24.7"/>
    <x v="2"/>
    <s v="Resolved"/>
    <x v="1"/>
    <x v="0"/>
    <x v="1"/>
    <x v="1"/>
    <x v="1"/>
  </r>
  <r>
    <s v="PKT-4972"/>
    <s v="2026-06-29 11:37"/>
    <x v="1"/>
    <x v="6"/>
    <s v="Only first few minutes transcribed"/>
    <x v="1"/>
    <x v="0"/>
    <n v="11.8"/>
    <n v="30.4"/>
    <x v="3"/>
    <s v="Resolved"/>
    <x v="1"/>
    <x v="1"/>
    <x v="2"/>
    <x v="1"/>
    <x v="1"/>
  </r>
  <r>
    <s v="PKT-4974"/>
    <s v="2026-06-29 16:41"/>
    <x v="1"/>
    <x v="6"/>
    <s v="Only first few minutes transcribed"/>
    <x v="1"/>
    <x v="1"/>
    <n v="13.8"/>
    <n v="54"/>
    <x v="2"/>
    <s v="Resolved"/>
    <x v="1"/>
    <x v="0"/>
    <x v="1"/>
    <x v="2"/>
    <x v="1"/>
  </r>
  <r>
    <s v="PKT-4979"/>
    <s v="2026-06-29 18:43"/>
    <x v="0"/>
    <x v="5"/>
    <s v="Warranty claim for dead unit"/>
    <x v="0"/>
    <x v="0"/>
    <n v="0.5"/>
    <n v="36.4"/>
    <x v="3"/>
    <s v="Resolved"/>
    <x v="1"/>
    <x v="1"/>
    <x v="2"/>
    <x v="1"/>
    <x v="0"/>
  </r>
  <r>
    <s v="PKT-4999"/>
    <s v="2026-06-30 08:20"/>
    <x v="0"/>
    <x v="2"/>
    <s v="Recordings not showing up in app"/>
    <x v="1"/>
    <x v="0"/>
    <n v="1.8"/>
    <n v="3.7"/>
    <x v="2"/>
    <s v="Resolved"/>
    <x v="1"/>
    <x v="0"/>
    <x v="1"/>
    <x v="0"/>
    <x v="0"/>
  </r>
  <r>
    <s v="PKT-5008"/>
    <s v="2026-06-30 11:25"/>
    <x v="0"/>
    <x v="6"/>
    <s v="Transcript is blank"/>
    <x v="1"/>
    <x v="0"/>
    <n v="2.4"/>
    <n v="45"/>
    <x v="4"/>
    <s v="Resolved"/>
    <x v="1"/>
    <x v="0"/>
    <x v="3"/>
    <x v="1"/>
    <x v="0"/>
  </r>
  <r>
    <s v="PKT-5017"/>
    <s v="2026-06-30 12:15"/>
    <x v="1"/>
    <x v="5"/>
    <s v="Wrong item shipped"/>
    <x v="1"/>
    <x v="1"/>
    <n v="12.2"/>
    <n v="18.8"/>
    <x v="3"/>
    <s v="Resolved"/>
    <x v="1"/>
    <x v="1"/>
    <x v="2"/>
    <x v="0"/>
    <x v="1"/>
  </r>
  <r>
    <s v="PKT-4993"/>
    <s v="2026-06-30 12:50"/>
    <x v="1"/>
    <x v="3"/>
    <s v="Only lasts a couple of hours now"/>
    <x v="1"/>
    <x v="1"/>
    <n v="1.6"/>
    <n v="23.6"/>
    <x v="2"/>
    <s v="Resolved"/>
    <x v="1"/>
    <x v="0"/>
    <x v="1"/>
    <x v="0"/>
    <x v="0"/>
  </r>
  <r>
    <s v="PKT-5005"/>
    <s v="2026-06-30 14:11"/>
    <x v="0"/>
    <x v="6"/>
    <s v="Only first few minutes transcribed"/>
    <x v="1"/>
    <x v="1"/>
    <n v="1.8"/>
    <n v="47"/>
    <x v="0"/>
    <s v="Resolved"/>
    <x v="1"/>
    <x v="0"/>
    <x v="0"/>
    <x v="1"/>
    <x v="0"/>
  </r>
  <r>
    <s v="PKT-4988"/>
    <s v="2026-07-01 07:18"/>
    <x v="0"/>
    <x v="0"/>
    <s v="Pocket won't connect to my phone"/>
    <x v="1"/>
    <x v="1"/>
    <n v="0.1"/>
    <n v="23.2"/>
    <x v="0"/>
    <s v="Resolved"/>
    <x v="2"/>
    <x v="0"/>
    <x v="0"/>
    <x v="0"/>
    <x v="0"/>
  </r>
  <r>
    <s v="PKT-5016"/>
    <s v="2026-07-01 12:55"/>
    <x v="0"/>
    <x v="5"/>
    <s v="Warranty claim for dead unit"/>
    <x v="1"/>
    <x v="0"/>
    <n v="1.3"/>
    <n v="58.8"/>
    <x v="3"/>
    <s v="Resolved"/>
    <x v="2"/>
    <x v="1"/>
    <x v="2"/>
    <x v="2"/>
    <x v="0"/>
  </r>
  <r>
    <s v="PKT-5010"/>
    <s v="2026-07-01 13:32"/>
    <x v="0"/>
    <x v="6"/>
    <s v="Transcript is blank"/>
    <x v="0"/>
    <x v="1"/>
    <n v="0.8"/>
    <n v="33.1"/>
    <x v="3"/>
    <s v="Resolved"/>
    <x v="2"/>
    <x v="1"/>
    <x v="2"/>
    <x v="1"/>
    <x v="0"/>
  </r>
  <r>
    <s v="PKT-4990"/>
    <s v="2026-07-01 13:40"/>
    <x v="0"/>
    <x v="0"/>
    <s v="Can't get it to pair after reset"/>
    <x v="1"/>
    <x v="1"/>
    <n v="1.5"/>
    <n v="25.4"/>
    <x v="0"/>
    <s v="Resolved"/>
    <x v="2"/>
    <x v="0"/>
    <x v="0"/>
    <x v="1"/>
    <x v="0"/>
  </r>
  <r>
    <s v="PKT-5007"/>
    <s v="2026-07-01 19:31"/>
    <x v="1"/>
    <x v="6"/>
    <s v="Garbled transcript on long recording"/>
    <x v="1"/>
    <x v="0"/>
    <n v="12.5"/>
    <n v="30.6"/>
    <x v="4"/>
    <s v="Resolved"/>
    <x v="2"/>
    <x v="0"/>
    <x v="3"/>
    <x v="1"/>
    <x v="1"/>
  </r>
  <r>
    <s v="PKT-5014"/>
    <s v="2026-07-01 19:36"/>
    <x v="1"/>
    <x v="4"/>
    <s v="Refund never arrived"/>
    <x v="1"/>
    <x v="0"/>
    <n v="7.3"/>
    <n v="66.7"/>
    <x v="4"/>
    <s v="Resolved"/>
    <x v="2"/>
    <x v="0"/>
    <x v="3"/>
    <x v="2"/>
    <x v="1"/>
  </r>
  <r>
    <s v="PKT-4989"/>
    <s v="2026-07-01 20:09"/>
    <x v="1"/>
    <x v="0"/>
    <s v="Bluetooth pairing fails"/>
    <x v="1"/>
    <x v="0"/>
    <n v="2.6"/>
    <n v="5.0999999999999996"/>
    <x v="3"/>
    <s v="Resolved"/>
    <x v="2"/>
    <x v="1"/>
    <x v="2"/>
    <x v="0"/>
    <x v="0"/>
  </r>
  <r>
    <s v="PKT-4992"/>
    <s v="2026-07-02 08:33"/>
    <x v="1"/>
    <x v="0"/>
    <s v="Bluetooth pairing fails"/>
    <x v="1"/>
    <x v="1"/>
    <n v="4.3"/>
    <n v="12.9"/>
    <x v="4"/>
    <s v="Resolved"/>
    <x v="2"/>
    <x v="0"/>
    <x v="3"/>
    <x v="0"/>
    <x v="0"/>
  </r>
  <r>
    <s v="PKT-4987"/>
    <s v="2026-07-02 10:24"/>
    <x v="0"/>
    <x v="0"/>
    <s v="Bluetooth pairing fails"/>
    <x v="1"/>
    <x v="1"/>
    <n v="2"/>
    <n v="10.9"/>
    <x v="3"/>
    <s v="Resolved"/>
    <x v="2"/>
    <x v="1"/>
    <x v="2"/>
    <x v="0"/>
    <x v="0"/>
  </r>
  <r>
    <s v="PKT-5019"/>
    <s v="2026-07-02 14:01"/>
    <x v="1"/>
    <x v="1"/>
    <s v="Locked out of my account"/>
    <x v="1"/>
    <x v="0"/>
    <n v="1.6"/>
    <n v="19.399999999999999"/>
    <x v="3"/>
    <s v="Resolved"/>
    <x v="2"/>
    <x v="1"/>
    <x v="2"/>
    <x v="0"/>
    <x v="0"/>
  </r>
  <r>
    <s v="PKT-5020"/>
    <s v="2026-07-02 14:38"/>
    <x v="0"/>
    <x v="1"/>
    <s v="Can't log in to app"/>
    <x v="1"/>
    <x v="0"/>
    <n v="1.1000000000000001"/>
    <n v="6.1"/>
    <x v="3"/>
    <s v="Resolved"/>
    <x v="2"/>
    <x v="1"/>
    <x v="2"/>
    <x v="0"/>
    <x v="0"/>
  </r>
  <r>
    <s v="PKT-5000"/>
    <s v="2026-07-02 16:27"/>
    <x v="1"/>
    <x v="2"/>
    <s v="Duplicate recordings after sync"/>
    <x v="1"/>
    <x v="1"/>
    <n v="11.4"/>
    <n v="2"/>
    <x v="1"/>
    <s v="Resolved"/>
    <x v="2"/>
    <x v="0"/>
    <x v="1"/>
    <x v="0"/>
    <x v="1"/>
  </r>
  <r>
    <s v="PKT-5021"/>
    <s v="2026-07-02 18:23"/>
    <x v="0"/>
    <x v="1"/>
    <s v="Two accounts merged by mistake"/>
    <x v="1"/>
    <x v="0"/>
    <n v="0.8"/>
    <n v="1.5"/>
    <x v="1"/>
    <s v="Resolved"/>
    <x v="2"/>
    <x v="0"/>
    <x v="1"/>
    <x v="0"/>
    <x v="0"/>
  </r>
  <r>
    <s v="PKT-5018"/>
    <s v="2026-07-03 10:55"/>
    <x v="0"/>
    <x v="1"/>
    <s v="Two accounts merged by mistake"/>
    <x v="1"/>
    <x v="0"/>
    <n v="1.2"/>
    <n v="4.2"/>
    <x v="3"/>
    <s v="Resolved"/>
    <x v="2"/>
    <x v="1"/>
    <x v="2"/>
    <x v="0"/>
    <x v="0"/>
  </r>
  <r>
    <s v="PKT-5003"/>
    <s v="2026-07-03 12:41"/>
    <x v="1"/>
    <x v="6"/>
    <s v="Garbled transcript on long recording"/>
    <x v="1"/>
    <x v="1"/>
    <n v="2.5"/>
    <n v="43.4"/>
    <x v="4"/>
    <s v="Resolved"/>
    <x v="2"/>
    <x v="0"/>
    <x v="3"/>
    <x v="1"/>
    <x v="0"/>
  </r>
  <r>
    <s v="PKT-5022"/>
    <s v="2026-07-03 15:28"/>
    <x v="0"/>
    <x v="7"/>
    <s v="How do I export notes"/>
    <x v="1"/>
    <x v="1"/>
    <n v="2"/>
    <n v="3"/>
    <x v="3"/>
    <s v="Resolved"/>
    <x v="2"/>
    <x v="1"/>
    <x v="2"/>
    <x v="0"/>
    <x v="0"/>
  </r>
  <r>
    <s v="PKT-5002"/>
    <s v="2026-07-04 07:38"/>
    <x v="1"/>
    <x v="6"/>
    <s v="Transcript is blank"/>
    <x v="1"/>
    <x v="0"/>
    <n v="7.9"/>
    <n v="26.1"/>
    <x v="5"/>
    <s v="Resolved"/>
    <x v="2"/>
    <x v="0"/>
    <x v="3"/>
    <x v="1"/>
    <x v="1"/>
  </r>
  <r>
    <s v="PKT-4994"/>
    <s v="2026-07-04 12:52"/>
    <x v="0"/>
    <x v="3"/>
    <s v="Only lasts a couple of hours now"/>
    <x v="1"/>
    <x v="0"/>
    <n v="0.2"/>
    <n v="29.5"/>
    <x v="0"/>
    <s v="Resolved"/>
    <x v="2"/>
    <x v="0"/>
    <x v="0"/>
    <x v="1"/>
    <x v="0"/>
  </r>
  <r>
    <s v="PKT-5013"/>
    <s v="2026-07-04 12:53"/>
    <x v="0"/>
    <x v="4"/>
    <s v="Can't update payment method"/>
    <x v="0"/>
    <x v="1"/>
    <n v="0.7"/>
    <n v="27.9"/>
    <x v="2"/>
    <s v="Resolved"/>
    <x v="2"/>
    <x v="0"/>
    <x v="1"/>
    <x v="1"/>
    <x v="0"/>
  </r>
  <r>
    <s v="PKT-5006"/>
    <s v="2026-07-04 15:18"/>
    <x v="0"/>
    <x v="6"/>
    <s v="Transcript is blank"/>
    <x v="1"/>
    <x v="1"/>
    <n v="2"/>
    <n v="46.2"/>
    <x v="4"/>
    <s v="Resolved"/>
    <x v="2"/>
    <x v="0"/>
    <x v="3"/>
    <x v="1"/>
    <x v="0"/>
  </r>
  <r>
    <s v="PKT-5009"/>
    <s v="2026-07-05 08:28"/>
    <x v="1"/>
    <x v="6"/>
    <s v="Garbled transcript on long recording"/>
    <x v="1"/>
    <x v="1"/>
    <n v="3.4"/>
    <n v="50.2"/>
    <x v="0"/>
    <s v="Resolved"/>
    <x v="2"/>
    <x v="0"/>
    <x v="0"/>
    <x v="2"/>
    <x v="0"/>
  </r>
  <r>
    <s v="PKT-5001"/>
    <s v="2026-07-05 09:01"/>
    <x v="1"/>
    <x v="2"/>
    <s v="Old recordings missing after update"/>
    <x v="1"/>
    <x v="0"/>
    <n v="5.7"/>
    <n v="1.2"/>
    <x v="3"/>
    <s v="Resolved"/>
    <x v="2"/>
    <x v="1"/>
    <x v="2"/>
    <x v="0"/>
    <x v="0"/>
  </r>
  <r>
    <s v="PKT-4991"/>
    <s v="2026-07-05 09:18"/>
    <x v="1"/>
    <x v="0"/>
    <s v="Pocket won't connect to my phone"/>
    <x v="1"/>
    <x v="1"/>
    <n v="7.8"/>
    <n v="18"/>
    <x v="3"/>
    <s v="Resolved"/>
    <x v="2"/>
    <x v="1"/>
    <x v="2"/>
    <x v="0"/>
    <x v="1"/>
  </r>
  <r>
    <s v="PKT-5011"/>
    <s v="2026-07-05 10:22"/>
    <x v="0"/>
    <x v="6"/>
    <s v="Garbled transcript on long recording"/>
    <x v="1"/>
    <x v="0"/>
    <n v="0.7"/>
    <n v="48.7"/>
    <x v="3"/>
    <s v="Resolved"/>
    <x v="2"/>
    <x v="1"/>
    <x v="2"/>
    <x v="2"/>
    <x v="0"/>
  </r>
  <r>
    <s v="PKT-5012"/>
    <s v="2026-07-05 11:39"/>
    <x v="1"/>
    <x v="4"/>
    <s v="Can't update payment method"/>
    <x v="1"/>
    <x v="1"/>
    <n v="10.4"/>
    <n v="52.4"/>
    <x v="0"/>
    <s v="Resolved"/>
    <x v="2"/>
    <x v="0"/>
    <x v="0"/>
    <x v="2"/>
    <x v="1"/>
  </r>
  <r>
    <s v="PKT-5004"/>
    <s v="2026-07-06 11:45"/>
    <x v="1"/>
    <x v="6"/>
    <s v="Transcript cuts off partway"/>
    <x v="1"/>
    <x v="0"/>
    <n v="2.8"/>
    <n v="41.4"/>
    <x v="4"/>
    <s v="Resolved"/>
    <x v="2"/>
    <x v="0"/>
    <x v="3"/>
    <x v="1"/>
    <x v="0"/>
  </r>
  <r>
    <s v="PKT-4997"/>
    <s v="2026-07-06 12:27"/>
    <x v="0"/>
    <x v="3"/>
    <s v="Dies overnight when idle"/>
    <x v="1"/>
    <x v="0"/>
    <n v="0.9"/>
    <n v="11.5"/>
    <x v="3"/>
    <s v="Resolved"/>
    <x v="2"/>
    <x v="1"/>
    <x v="2"/>
    <x v="0"/>
    <x v="0"/>
  </r>
  <r>
    <s v="PKT-4986"/>
    <s v="2026-07-06 13:05"/>
    <x v="0"/>
    <x v="0"/>
    <s v="Pocket won't connect to my phone"/>
    <x v="1"/>
    <x v="0"/>
    <n v="1"/>
    <n v="26.8"/>
    <x v="4"/>
    <s v="Resolved"/>
    <x v="2"/>
    <x v="0"/>
    <x v="3"/>
    <x v="1"/>
    <x v="0"/>
  </r>
  <r>
    <s v="PKT-4995"/>
    <s v="2026-07-06 14:02"/>
    <x v="1"/>
    <x v="3"/>
    <s v="Won't hold a charge"/>
    <x v="0"/>
    <x v="1"/>
    <n v="7.7"/>
    <n v="26.8"/>
    <x v="3"/>
    <s v="Resolved"/>
    <x v="2"/>
    <x v="1"/>
    <x v="2"/>
    <x v="1"/>
    <x v="1"/>
  </r>
  <r>
    <s v="PKT-4998"/>
    <s v="2026-07-06 15:17"/>
    <x v="0"/>
    <x v="3"/>
    <s v="Charging light not coming on"/>
    <x v="1"/>
    <x v="1"/>
    <n v="0.8"/>
    <n v="14.1"/>
    <x v="0"/>
    <s v="Resolved"/>
    <x v="2"/>
    <x v="0"/>
    <x v="0"/>
    <x v="0"/>
    <x v="0"/>
  </r>
  <r>
    <s v="PKT-4996"/>
    <s v="2026-07-06 15:30"/>
    <x v="1"/>
    <x v="3"/>
    <s v="Won't hold a charge"/>
    <x v="1"/>
    <x v="1"/>
    <n v="4.5999999999999996"/>
    <n v="10"/>
    <x v="0"/>
    <s v="Resolved"/>
    <x v="2"/>
    <x v="0"/>
    <x v="0"/>
    <x v="0"/>
    <x v="0"/>
  </r>
  <r>
    <s v="PKT-5015"/>
    <s v="2026-07-06 19:43"/>
    <x v="1"/>
    <x v="5"/>
    <s v="Device arrived damaged"/>
    <x v="1"/>
    <x v="1"/>
    <n v="5.4"/>
    <n v="19.600000000000001"/>
    <x v="1"/>
    <s v="Resolved"/>
    <x v="2"/>
    <x v="0"/>
    <x v="1"/>
    <x v="0"/>
    <x v="0"/>
  </r>
  <r>
    <s v="PKT-5023"/>
    <s v="2026-07-07 07:02"/>
    <x v="1"/>
    <x v="0"/>
    <s v="Can't get it to pair after reset"/>
    <x v="1"/>
    <x v="0"/>
    <n v="2.8"/>
    <n v="16.5"/>
    <x v="3"/>
    <s v="Resolved"/>
    <x v="2"/>
    <x v="1"/>
    <x v="2"/>
    <x v="0"/>
    <x v="0"/>
  </r>
  <r>
    <s v="PKT-5055"/>
    <s v="2026-07-07 15:37"/>
    <x v="0"/>
    <x v="1"/>
    <s v="Locked out of my account"/>
    <x v="1"/>
    <x v="0"/>
    <n v="2.4"/>
    <n v="11.3"/>
    <x v="3"/>
    <s v="Resolved"/>
    <x v="2"/>
    <x v="1"/>
    <x v="2"/>
    <x v="0"/>
    <x v="0"/>
  </r>
  <r>
    <s v="PKT-5033"/>
    <s v="2026-07-08 08:39"/>
    <x v="0"/>
    <x v="3"/>
    <s v="Only lasts a couple of hours now"/>
    <x v="1"/>
    <x v="1"/>
    <n v="0.2"/>
    <n v="20.8"/>
    <x v="1"/>
    <s v="Resolved"/>
    <x v="2"/>
    <x v="0"/>
    <x v="1"/>
    <x v="0"/>
    <x v="0"/>
  </r>
  <r>
    <s v="PKT-5043"/>
    <s v="2026-07-08 09:30"/>
    <x v="1"/>
    <x v="6"/>
    <s v="Garbled transcript on long recording"/>
    <x v="1"/>
    <x v="0"/>
    <n v="11.4"/>
    <n v="28.2"/>
    <x v="4"/>
    <s v="Resolved"/>
    <x v="2"/>
    <x v="0"/>
    <x v="3"/>
    <x v="1"/>
    <x v="1"/>
  </r>
  <r>
    <s v="PKT-5058"/>
    <s v="2026-07-08 11:13"/>
    <x v="1"/>
    <x v="7"/>
    <s v="Is there a web version"/>
    <x v="0"/>
    <x v="0"/>
    <n v="1.7"/>
    <n v="17"/>
    <x v="3"/>
    <s v="Resolved"/>
    <x v="2"/>
    <x v="1"/>
    <x v="2"/>
    <x v="0"/>
    <x v="0"/>
  </r>
  <r>
    <s v="PKT-5042"/>
    <s v="2026-07-08 13:43"/>
    <x v="1"/>
    <x v="6"/>
    <s v="Only first few minutes transcribed"/>
    <x v="1"/>
    <x v="0"/>
    <n v="9"/>
    <n v="41.3"/>
    <x v="0"/>
    <s v="Resolved"/>
    <x v="2"/>
    <x v="0"/>
    <x v="0"/>
    <x v="1"/>
    <x v="1"/>
  </r>
  <r>
    <s v="PKT-5036"/>
    <s v="2026-07-08 15:47"/>
    <x v="0"/>
    <x v="2"/>
    <s v="App won't sync over wifi"/>
    <x v="1"/>
    <x v="1"/>
    <n v="2"/>
    <n v="8.6"/>
    <x v="2"/>
    <s v="Resolved"/>
    <x v="2"/>
    <x v="0"/>
    <x v="1"/>
    <x v="0"/>
    <x v="0"/>
  </r>
  <r>
    <s v="PKT-5044"/>
    <s v="2026-07-08 17:48"/>
    <x v="0"/>
    <x v="6"/>
    <s v="Transcript cuts off partway"/>
    <x v="1"/>
    <x v="0"/>
    <n v="0.2"/>
    <n v="33.5"/>
    <x v="5"/>
    <s v="Resolved"/>
    <x v="2"/>
    <x v="0"/>
    <x v="3"/>
    <x v="1"/>
    <x v="0"/>
  </r>
  <r>
    <s v="PKT-5049"/>
    <s v="2026-07-08 19:08"/>
    <x v="0"/>
    <x v="4"/>
    <s v="Double charged this month"/>
    <x v="1"/>
    <x v="0"/>
    <n v="1"/>
    <n v="42"/>
    <x v="5"/>
    <s v="Resolved"/>
    <x v="2"/>
    <x v="0"/>
    <x v="3"/>
    <x v="1"/>
    <x v="0"/>
  </r>
  <r>
    <s v="PKT-5037"/>
    <s v="2026-07-08 21:47"/>
    <x v="0"/>
    <x v="2"/>
    <s v="Old recordings missing after update"/>
    <x v="1"/>
    <x v="1"/>
    <n v="0.7"/>
    <n v="0.7"/>
    <x v="2"/>
    <s v="Resolved"/>
    <x v="2"/>
    <x v="0"/>
    <x v="1"/>
    <x v="0"/>
    <x v="0"/>
  </r>
  <r>
    <s v="PKT-5041"/>
    <s v="2026-07-09 16:46"/>
    <x v="0"/>
    <x v="6"/>
    <s v="Transcript cuts off partway"/>
    <x v="1"/>
    <x v="0"/>
    <n v="1.2"/>
    <n v="41.4"/>
    <x v="3"/>
    <s v="Resolved"/>
    <x v="2"/>
    <x v="1"/>
    <x v="2"/>
    <x v="1"/>
    <x v="0"/>
  </r>
  <r>
    <s v="PKT-5025"/>
    <s v="2026-07-09 17:07"/>
    <x v="0"/>
    <x v="0"/>
    <s v="Can't get it to pair after reset"/>
    <x v="1"/>
    <x v="1"/>
    <n v="1.5"/>
    <n v="18.7"/>
    <x v="3"/>
    <s v="Resolved"/>
    <x v="2"/>
    <x v="1"/>
    <x v="2"/>
    <x v="0"/>
    <x v="0"/>
  </r>
  <r>
    <s v="PKT-5030"/>
    <s v="2026-07-09 19:18"/>
    <x v="0"/>
    <x v="3"/>
    <s v="Won't hold a charge"/>
    <x v="1"/>
    <x v="0"/>
    <n v="0.8"/>
    <n v="10.9"/>
    <x v="3"/>
    <s v="Resolved"/>
    <x v="2"/>
    <x v="1"/>
    <x v="2"/>
    <x v="0"/>
    <x v="0"/>
  </r>
  <r>
    <s v="PKT-5057"/>
    <s v="2026-07-09 20:45"/>
    <x v="1"/>
    <x v="7"/>
    <s v="App crashes on open"/>
    <x v="1"/>
    <x v="1"/>
    <n v="2.7"/>
    <n v="11.5"/>
    <x v="0"/>
    <s v="Resolved"/>
    <x v="2"/>
    <x v="0"/>
    <x v="0"/>
    <x v="0"/>
    <x v="0"/>
  </r>
  <r>
    <s v="PKT-5046"/>
    <s v="2026-07-10 08:57"/>
    <x v="1"/>
    <x v="6"/>
    <s v="Transcript cuts off partway"/>
    <x v="1"/>
    <x v="0"/>
    <n v="8.3000000000000007"/>
    <n v="14.7"/>
    <x v="5"/>
    <s v="Resolved"/>
    <x v="2"/>
    <x v="0"/>
    <x v="3"/>
    <x v="0"/>
    <x v="1"/>
  </r>
  <r>
    <s v="PKT-5027"/>
    <s v="2026-07-10 12:26"/>
    <x v="1"/>
    <x v="0"/>
    <s v="Pocket won't connect to my phone"/>
    <x v="1"/>
    <x v="0"/>
    <n v="10.199999999999999"/>
    <n v="16.100000000000001"/>
    <x v="2"/>
    <s v="Resolved"/>
    <x v="2"/>
    <x v="0"/>
    <x v="1"/>
    <x v="0"/>
    <x v="1"/>
  </r>
  <r>
    <s v="PKT-5034"/>
    <s v="2026-07-10 12:45"/>
    <x v="1"/>
    <x v="3"/>
    <s v="Dies overnight when idle"/>
    <x v="1"/>
    <x v="1"/>
    <n v="9.5"/>
    <n v="2.1"/>
    <x v="0"/>
    <s v="Resolved"/>
    <x v="2"/>
    <x v="0"/>
    <x v="0"/>
    <x v="0"/>
    <x v="1"/>
  </r>
  <r>
    <s v="PKT-5035"/>
    <s v="2026-07-10 14:41"/>
    <x v="1"/>
    <x v="3"/>
    <s v="Battery draining way too fast"/>
    <x v="1"/>
    <x v="0"/>
    <n v="9.5"/>
    <n v="10"/>
    <x v="3"/>
    <s v="Resolved"/>
    <x v="2"/>
    <x v="1"/>
    <x v="2"/>
    <x v="0"/>
    <x v="1"/>
  </r>
  <r>
    <s v="PKT-5040"/>
    <s v="2026-07-10 17:06"/>
    <x v="1"/>
    <x v="6"/>
    <s v="Transcription stuck processing"/>
    <x v="1"/>
    <x v="0"/>
    <n v="4.0999999999999996"/>
    <n v="52.9"/>
    <x v="3"/>
    <s v="Resolved"/>
    <x v="2"/>
    <x v="1"/>
    <x v="2"/>
    <x v="2"/>
    <x v="0"/>
  </r>
  <r>
    <s v="PKT-5059"/>
    <s v="2026-07-10 17:38"/>
    <x v="0"/>
    <x v="7"/>
    <s v="App crashes on open"/>
    <x v="1"/>
    <x v="1"/>
    <n v="0.6"/>
    <n v="16.2"/>
    <x v="1"/>
    <s v="Resolved"/>
    <x v="2"/>
    <x v="0"/>
    <x v="1"/>
    <x v="0"/>
    <x v="0"/>
  </r>
  <r>
    <s v="PKT-5051"/>
    <s v="2026-07-10 17:46"/>
    <x v="1"/>
    <x v="5"/>
    <s v="Warranty claim for dead unit"/>
    <x v="1"/>
    <x v="1"/>
    <n v="3.5"/>
    <n v="23.9"/>
    <x v="3"/>
    <s v="Resolved"/>
    <x v="2"/>
    <x v="1"/>
    <x v="2"/>
    <x v="0"/>
    <x v="0"/>
  </r>
  <r>
    <s v="PKT-5028"/>
    <s v="2026-07-11 10:35"/>
    <x v="1"/>
    <x v="0"/>
    <s v="Can't get it to pair after reset"/>
    <x v="1"/>
    <x v="0"/>
    <n v="5.6"/>
    <n v="6.8"/>
    <x v="0"/>
    <s v="Resolved"/>
    <x v="2"/>
    <x v="0"/>
    <x v="0"/>
    <x v="0"/>
    <x v="0"/>
  </r>
  <r>
    <s v="PKT-5024"/>
    <s v="2026-07-11 12:10"/>
    <x v="1"/>
    <x v="0"/>
    <s v="Can't get it to pair after reset"/>
    <x v="1"/>
    <x v="0"/>
    <n v="4.9000000000000004"/>
    <n v="16.2"/>
    <x v="2"/>
    <s v="Resolved"/>
    <x v="2"/>
    <x v="0"/>
    <x v="1"/>
    <x v="0"/>
    <x v="0"/>
  </r>
  <r>
    <s v="PKT-5031"/>
    <s v="2026-07-11 17:34"/>
    <x v="1"/>
    <x v="3"/>
    <s v="Won't hold a charge"/>
    <x v="1"/>
    <x v="0"/>
    <n v="1.5"/>
    <m/>
    <x v="3"/>
    <s v="Open"/>
    <x v="2"/>
    <x v="1"/>
    <x v="2"/>
    <x v="0"/>
    <x v="0"/>
  </r>
  <r>
    <s v="PKT-5054"/>
    <s v="2026-07-11 19:43"/>
    <x v="0"/>
    <x v="1"/>
    <s v="Email on file is wrong"/>
    <x v="1"/>
    <x v="1"/>
    <n v="0.8"/>
    <m/>
    <x v="3"/>
    <s v="Open"/>
    <x v="2"/>
    <x v="1"/>
    <x v="2"/>
    <x v="0"/>
    <x v="0"/>
  </r>
  <r>
    <s v="PKT-5045"/>
    <s v="2026-07-11 21:32"/>
    <x v="1"/>
    <x v="6"/>
    <s v="Transcript is blank"/>
    <x v="1"/>
    <x v="1"/>
    <n v="10.3"/>
    <n v="33.200000000000003"/>
    <x v="3"/>
    <s v="Resolved"/>
    <x v="2"/>
    <x v="1"/>
    <x v="2"/>
    <x v="1"/>
    <x v="1"/>
  </r>
  <r>
    <s v="PKT-5053"/>
    <s v="2026-07-12 07:25"/>
    <x v="1"/>
    <x v="5"/>
    <s v="Return label not received"/>
    <x v="1"/>
    <x v="1"/>
    <n v="5.0999999999999996"/>
    <n v="59.7"/>
    <x v="3"/>
    <s v="Resolved"/>
    <x v="2"/>
    <x v="1"/>
    <x v="2"/>
    <x v="2"/>
    <x v="0"/>
  </r>
  <r>
    <s v="PKT-5026"/>
    <s v="2026-07-12 07:37"/>
    <x v="1"/>
    <x v="0"/>
    <s v="Pocket won't connect to my phone"/>
    <x v="1"/>
    <x v="0"/>
    <n v="3.5"/>
    <n v="21.1"/>
    <x v="3"/>
    <s v="Resolved"/>
    <x v="2"/>
    <x v="1"/>
    <x v="2"/>
    <x v="0"/>
    <x v="0"/>
  </r>
  <r>
    <s v="PKT-5032"/>
    <s v="2026-07-12 08:22"/>
    <x v="0"/>
    <x v="3"/>
    <s v="Charging light not coming on"/>
    <x v="1"/>
    <x v="0"/>
    <n v="1.8"/>
    <n v="25.2"/>
    <x v="3"/>
    <s v="Resolved"/>
    <x v="2"/>
    <x v="1"/>
    <x v="2"/>
    <x v="1"/>
    <x v="0"/>
  </r>
  <r>
    <s v="PKT-5048"/>
    <s v="2026-07-12 08:34"/>
    <x v="0"/>
    <x v="4"/>
    <s v="Charged after I cancelled"/>
    <x v="1"/>
    <x v="1"/>
    <n v="0.8"/>
    <m/>
    <x v="3"/>
    <s v="Pending customer"/>
    <x v="2"/>
    <x v="1"/>
    <x v="2"/>
    <x v="0"/>
    <x v="0"/>
  </r>
  <r>
    <s v="PKT-5039"/>
    <s v="2026-07-12 09:00"/>
    <x v="0"/>
    <x v="2"/>
    <s v="Duplicate recordings after sync"/>
    <x v="1"/>
    <x v="1"/>
    <n v="0.9"/>
    <n v="17.2"/>
    <x v="2"/>
    <s v="Resolved"/>
    <x v="2"/>
    <x v="0"/>
    <x v="1"/>
    <x v="0"/>
    <x v="0"/>
  </r>
  <r>
    <s v="PKT-5056"/>
    <s v="2026-07-12 13:50"/>
    <x v="1"/>
    <x v="1"/>
    <s v="Password reset not working"/>
    <x v="1"/>
    <x v="0"/>
    <n v="12"/>
    <n v="7.8"/>
    <x v="2"/>
    <s v="Resolved"/>
    <x v="2"/>
    <x v="0"/>
    <x v="1"/>
    <x v="0"/>
    <x v="1"/>
  </r>
  <r>
    <s v="PKT-5038"/>
    <s v="2026-07-12 15:33"/>
    <x v="1"/>
    <x v="2"/>
    <s v="App won't sync over wifi"/>
    <x v="1"/>
    <x v="0"/>
    <n v="9.4"/>
    <n v="16.3"/>
    <x v="3"/>
    <s v="Resolved"/>
    <x v="2"/>
    <x v="1"/>
    <x v="2"/>
    <x v="0"/>
    <x v="1"/>
  </r>
  <r>
    <s v="PKT-5029"/>
    <s v="2026-07-12 17:51"/>
    <x v="0"/>
    <x v="0"/>
    <s v="Can't get it to pair after reset"/>
    <x v="1"/>
    <x v="1"/>
    <n v="0.8"/>
    <m/>
    <x v="3"/>
    <s v="Pending customer"/>
    <x v="2"/>
    <x v="1"/>
    <x v="2"/>
    <x v="0"/>
    <x v="0"/>
  </r>
  <r>
    <s v="PKT-5050"/>
    <s v="2026-07-12 17:55"/>
    <x v="1"/>
    <x v="4"/>
    <s v="Unexpected Pocket Pro charge"/>
    <x v="1"/>
    <x v="0"/>
    <n v="11.9"/>
    <n v="71.7"/>
    <x v="0"/>
    <s v="Resolved"/>
    <x v="2"/>
    <x v="0"/>
    <x v="0"/>
    <x v="2"/>
    <x v="1"/>
  </r>
  <r>
    <s v="PKT-5052"/>
    <s v="2026-07-12 19:07"/>
    <x v="1"/>
    <x v="5"/>
    <s v="Return label not received"/>
    <x v="1"/>
    <x v="1"/>
    <n v="9.6999999999999993"/>
    <n v="15.2"/>
    <x v="1"/>
    <s v="Resolved"/>
    <x v="2"/>
    <x v="0"/>
    <x v="1"/>
    <x v="0"/>
    <x v="1"/>
  </r>
  <r>
    <s v="PKT-5047"/>
    <s v="2026-07-12 19:19"/>
    <x v="0"/>
    <x v="6"/>
    <s v="Transcript cuts off partway"/>
    <x v="1"/>
    <x v="1"/>
    <n v="1.1000000000000001"/>
    <m/>
    <x v="3"/>
    <s v="Open"/>
    <x v="2"/>
    <x v="1"/>
    <x v="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878CD2-0015-4430-B15C-BE0E7A3ED4B7}" name="Tickets by Categor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A3:B11" firstHeaderRow="1" firstDataRow="1" firstDataCol="1"/>
  <pivotFields count="16">
    <pivotField dataField="1" compact="0" outline="0" showAll="0"/>
    <pivotField compact="0" outline="0" showAll="0"/>
    <pivotField compact="0" outline="0" showAll="0">
      <items count="3">
        <item x="0"/>
        <item x="1"/>
        <item t="default"/>
      </items>
    </pivotField>
    <pivotField axis="axisRow" compact="0" outline="0" showAll="0">
      <items count="9">
        <item x="1"/>
        <item x="4"/>
        <item x="3"/>
        <item x="0"/>
        <item x="7"/>
        <item x="5"/>
        <item x="2"/>
        <item x="6"/>
        <item t="default"/>
      </items>
    </pivotField>
    <pivotField compact="0" outline="0" showAll="0"/>
    <pivotField compact="0" outline="0" showAll="0">
      <items count="3">
        <item x="0"/>
        <item x="1"/>
        <item t="default"/>
      </items>
    </pivotField>
    <pivotField compact="0" outline="0" showAll="0">
      <items count="3">
        <item x="0"/>
        <item x="1"/>
        <item t="default"/>
      </items>
    </pivotField>
    <pivotField compact="0" numFmtId="165" outline="0" showAll="0"/>
    <pivotField compact="0" outline="0" showAll="0"/>
    <pivotField compact="0" outline="0" showAll="0">
      <items count="7">
        <item x="5"/>
        <item x="4"/>
        <item x="0"/>
        <item x="2"/>
        <item x="1"/>
        <item x="3"/>
        <item t="default"/>
      </items>
    </pivotField>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s>
  <rowFields count="1">
    <field x="3"/>
  </rowFields>
  <rowItems count="8">
    <i>
      <x/>
    </i>
    <i>
      <x v="1"/>
    </i>
    <i>
      <x v="2"/>
    </i>
    <i>
      <x v="3"/>
    </i>
    <i>
      <x v="4"/>
    </i>
    <i>
      <x v="5"/>
    </i>
    <i>
      <x v="6"/>
    </i>
    <i>
      <x v="7"/>
    </i>
  </rowItems>
  <colItems count="1">
    <i/>
  </colItems>
  <dataFields count="1">
    <dataField name="Count of ticke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F12805-1317-412D-991F-A7EC9FA26DF3}" name="Ticket by Channel"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3">
  <location ref="A3:B5" firstHeaderRow="1" firstDataRow="1" firstDataCol="1"/>
  <pivotFields count="16">
    <pivotField dataField="1" compact="0" outline="0" showAll="0"/>
    <pivotField compact="0" outline="0" showAll="0"/>
    <pivotField axis="axisRow" compact="0" outline="0" showAll="0">
      <items count="3">
        <item x="0"/>
        <item x="1"/>
        <item t="default"/>
      </items>
    </pivotField>
    <pivotField compact="0" outline="0" showAll="0">
      <items count="9">
        <item x="1"/>
        <item x="4"/>
        <item x="3"/>
        <item x="0"/>
        <item x="7"/>
        <item x="5"/>
        <item x="2"/>
        <item x="6"/>
        <item t="default"/>
      </items>
    </pivotField>
    <pivotField compact="0" outline="0" showAll="0"/>
    <pivotField compact="0" outline="0" showAll="0">
      <items count="3">
        <item x="0"/>
        <item x="1"/>
        <item t="default"/>
      </items>
    </pivotField>
    <pivotField compact="0" outline="0" showAll="0">
      <items count="3">
        <item x="0"/>
        <item x="1"/>
        <item t="default"/>
      </items>
    </pivotField>
    <pivotField compact="0" numFmtId="165" outline="0" showAll="0"/>
    <pivotField compact="0" outline="0" showAll="0"/>
    <pivotField compact="0" outline="0" showAll="0">
      <items count="7">
        <item x="5"/>
        <item x="4"/>
        <item x="0"/>
        <item x="2"/>
        <item x="1"/>
        <item x="3"/>
        <item t="default"/>
      </items>
    </pivotField>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s>
  <rowFields count="1">
    <field x="2"/>
  </rowFields>
  <rowItems count="2">
    <i>
      <x/>
    </i>
    <i>
      <x v="1"/>
    </i>
  </rowItems>
  <colItems count="1">
    <i/>
  </colItems>
  <dataFields count="1">
    <dataField name="Count of ticket_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30D798-DF10-485D-8BFE-24EFD2E2B9B2}"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A3:B5" firstHeaderRow="1" firstDataRow="1" firstDataCol="1"/>
  <pivotFields count="16">
    <pivotField dataField="1" compact="0" outline="0" showAll="0"/>
    <pivotField compact="0" outline="0" showAll="0"/>
    <pivotField compact="0" outline="0" showAll="0">
      <items count="3">
        <item x="0"/>
        <item x="1"/>
        <item t="default"/>
      </items>
    </pivotField>
    <pivotField compact="0" outline="0" showAll="0">
      <items count="9">
        <item x="1"/>
        <item x="4"/>
        <item x="3"/>
        <item x="0"/>
        <item x="7"/>
        <item x="5"/>
        <item x="2"/>
        <item x="6"/>
        <item t="default"/>
      </items>
    </pivotField>
    <pivotField compact="0" outline="0" showAll="0"/>
    <pivotField axis="axisRow" compact="0" outline="0" showAll="0">
      <items count="3">
        <item x="0"/>
        <item x="1"/>
        <item t="default"/>
      </items>
    </pivotField>
    <pivotField compact="0" outline="0" showAll="0">
      <items count="3">
        <item x="0"/>
        <item x="1"/>
        <item t="default"/>
      </items>
    </pivotField>
    <pivotField compact="0" numFmtId="165" outline="0" showAll="0"/>
    <pivotField compact="0" outline="0" showAll="0"/>
    <pivotField compact="0" outline="0" showAll="0">
      <items count="7">
        <item x="5"/>
        <item x="4"/>
        <item x="0"/>
        <item x="2"/>
        <item x="1"/>
        <item x="3"/>
        <item t="default"/>
      </items>
    </pivotField>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s>
  <rowFields count="1">
    <field x="5"/>
  </rowFields>
  <rowItems count="2">
    <i>
      <x/>
    </i>
    <i>
      <x v="1"/>
    </i>
  </rowItems>
  <colItems count="1">
    <i/>
  </colItems>
  <dataFields count="1">
    <dataField name="Count of ticket_id"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5" count="1" selected="0">
            <x v="0"/>
          </reference>
        </references>
      </pivotArea>
    </chartFormat>
    <chartFormat chart="2" format="5">
      <pivotArea type="data" outline="0" fieldPosition="0">
        <references count="2">
          <reference field="4294967294" count="1" selected="0">
            <x v="0"/>
          </reference>
          <reference field="5"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0"/>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C6BEF0-A0E7-46D3-829F-865570DBA3C3}"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A3:B5" firstHeaderRow="1" firstDataRow="1" firstDataCol="1"/>
  <pivotFields count="16">
    <pivotField dataField="1" compact="0" outline="0" showAll="0"/>
    <pivotField compact="0" outline="0" showAll="0"/>
    <pivotField compact="0" outline="0" showAll="0">
      <items count="3">
        <item x="0"/>
        <item x="1"/>
        <item t="default"/>
      </items>
    </pivotField>
    <pivotField compact="0" outline="0" showAll="0">
      <items count="9">
        <item x="1"/>
        <item x="4"/>
        <item x="3"/>
        <item x="0"/>
        <item x="7"/>
        <item x="5"/>
        <item x="2"/>
        <item x="6"/>
        <item t="default"/>
      </items>
    </pivotField>
    <pivotField compact="0" outline="0" showAll="0"/>
    <pivotField compact="0" outline="0" showAll="0">
      <items count="3">
        <item x="0"/>
        <item x="1"/>
        <item t="default"/>
      </items>
    </pivotField>
    <pivotField axis="axisRow" compact="0" outline="0" showAll="0">
      <items count="3">
        <item x="0"/>
        <item x="1"/>
        <item t="default"/>
      </items>
    </pivotField>
    <pivotField compact="0" numFmtId="165" outline="0" showAll="0"/>
    <pivotField compact="0" outline="0" showAll="0"/>
    <pivotField compact="0" outline="0" showAll="0">
      <items count="7">
        <item x="5"/>
        <item x="4"/>
        <item x="0"/>
        <item x="2"/>
        <item x="1"/>
        <item x="3"/>
        <item t="default"/>
      </items>
    </pivotField>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s>
  <rowFields count="1">
    <field x="6"/>
  </rowFields>
  <rowItems count="2">
    <i>
      <x/>
    </i>
    <i>
      <x v="1"/>
    </i>
  </rowItems>
  <colItems count="1">
    <i/>
  </colItems>
  <dataFields count="1">
    <dataField name="Count of ticket_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6" count="1" selected="0">
            <x v="0"/>
          </reference>
        </references>
      </pivotArea>
    </chartFormat>
    <chartFormat chart="2"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40A48D-49D1-4A47-B8C7-7A1CCFE745AE}"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A3:B7" firstHeaderRow="1" firstDataRow="1" firstDataCol="1"/>
  <pivotFields count="16">
    <pivotField dataField="1" compact="0" outline="0" showAll="0"/>
    <pivotField compact="0" outline="0" showAll="0"/>
    <pivotField compact="0" outline="0" showAll="0">
      <items count="3">
        <item x="0"/>
        <item x="1"/>
        <item t="default"/>
      </items>
    </pivotField>
    <pivotField compact="0" outline="0" showAll="0">
      <items count="9">
        <item x="1"/>
        <item x="4"/>
        <item x="3"/>
        <item x="0"/>
        <item x="7"/>
        <item x="5"/>
        <item x="2"/>
        <item x="6"/>
        <item t="default"/>
      </items>
    </pivotField>
    <pivotField compact="0" outline="0" showAll="0"/>
    <pivotField compact="0" outline="0" showAll="0">
      <items count="3">
        <item x="0"/>
        <item x="1"/>
        <item t="default"/>
      </items>
    </pivotField>
    <pivotField compact="0" outline="0" showAll="0">
      <items count="3">
        <item x="0"/>
        <item x="1"/>
        <item t="default"/>
      </items>
    </pivotField>
    <pivotField compact="0" numFmtId="165" outline="0" showAll="0"/>
    <pivotField compact="0" outline="0" showAll="0"/>
    <pivotField compact="0" outline="0" showAll="0">
      <items count="7">
        <item x="5"/>
        <item x="4"/>
        <item x="0"/>
        <item x="2"/>
        <item x="1"/>
        <item x="3"/>
        <item t="default"/>
      </items>
    </pivotField>
    <pivotField compact="0" outline="0" showAll="0"/>
    <pivotField compact="0" outline="0" showAll="0">
      <items count="4">
        <item x="0"/>
        <item x="1"/>
        <item x="2"/>
        <item t="default"/>
      </items>
    </pivotField>
    <pivotField compact="0" outline="0" showAll="0"/>
    <pivotField axis="axisRow" compact="0" outline="0" showAll="0">
      <items count="5">
        <item x="3"/>
        <item x="0"/>
        <item x="2"/>
        <item x="1"/>
        <item t="default"/>
      </items>
    </pivotField>
    <pivotField compact="0" outline="0" showAll="0"/>
    <pivotField compact="0" outline="0" showAll="0"/>
  </pivotFields>
  <rowFields count="1">
    <field x="13"/>
  </rowFields>
  <rowItems count="4">
    <i>
      <x/>
    </i>
    <i>
      <x v="1"/>
    </i>
    <i>
      <x v="2"/>
    </i>
    <i>
      <x v="3"/>
    </i>
  </rowItems>
  <colItems count="1">
    <i/>
  </colItems>
  <dataFields count="1">
    <dataField name="Count of ticke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358452-D7D6-4E96-A91D-18BB9039C501}"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5" firstHeaderRow="1" firstDataRow="1" firstDataCol="1"/>
  <pivotFields count="16">
    <pivotField dataField="1" showAll="0"/>
    <pivotField showAll="0"/>
    <pivotField showAll="0">
      <items count="3">
        <item x="0"/>
        <item x="1"/>
        <item t="default"/>
      </items>
    </pivotField>
    <pivotField showAll="0">
      <items count="9">
        <item x="1"/>
        <item x="4"/>
        <item x="3"/>
        <item x="0"/>
        <item x="7"/>
        <item x="5"/>
        <item x="2"/>
        <item x="6"/>
        <item t="default"/>
      </items>
    </pivotField>
    <pivotField showAll="0"/>
    <pivotField showAll="0">
      <items count="3">
        <item x="0"/>
        <item x="1"/>
        <item t="default"/>
      </items>
    </pivotField>
    <pivotField showAll="0">
      <items count="3">
        <item x="0"/>
        <item x="1"/>
        <item t="default"/>
      </items>
    </pivotField>
    <pivotField numFmtId="165" showAll="0"/>
    <pivotField showAll="0"/>
    <pivotField showAll="0">
      <items count="7">
        <item x="5"/>
        <item x="4"/>
        <item x="0"/>
        <item x="2"/>
        <item x="1"/>
        <item x="3"/>
        <item t="default"/>
      </items>
    </pivotField>
    <pivotField showAll="0"/>
    <pivotField showAll="0">
      <items count="4">
        <item x="0"/>
        <item x="1"/>
        <item x="2"/>
        <item t="default"/>
      </items>
    </pivotField>
    <pivotField axis="axisRow" showAll="0">
      <items count="3">
        <item x="1"/>
        <item x="0"/>
        <item t="default"/>
      </items>
    </pivotField>
    <pivotField showAll="0"/>
    <pivotField showAll="0"/>
    <pivotField showAll="0"/>
  </pivotFields>
  <rowFields count="1">
    <field x="12"/>
  </rowFields>
  <rowItems count="2">
    <i>
      <x/>
    </i>
    <i>
      <x v="1"/>
    </i>
  </rowItems>
  <colItems count="1">
    <i/>
  </colItems>
  <dataFields count="1">
    <dataField name="Count of ticket_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726251-C796-47B2-9CA3-5247B6437C71}"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A3:B6" firstHeaderRow="1" firstDataRow="1" firstDataCol="1"/>
  <pivotFields count="16">
    <pivotField dataField="1" compact="0" outline="0" showAll="0"/>
    <pivotField compact="0" outline="0" showAll="0"/>
    <pivotField compact="0" outline="0" showAll="0">
      <items count="3">
        <item x="0"/>
        <item x="1"/>
        <item t="default"/>
      </items>
    </pivotField>
    <pivotField compact="0" outline="0" showAll="0">
      <items count="9">
        <item x="1"/>
        <item x="4"/>
        <item x="3"/>
        <item x="0"/>
        <item x="7"/>
        <item x="5"/>
        <item x="2"/>
        <item x="6"/>
        <item t="default"/>
      </items>
    </pivotField>
    <pivotField compact="0" outline="0" showAll="0"/>
    <pivotField compact="0" outline="0" showAll="0">
      <items count="3">
        <item x="0"/>
        <item x="1"/>
        <item t="default"/>
      </items>
    </pivotField>
    <pivotField compact="0" outline="0" showAll="0">
      <items count="3">
        <item x="0"/>
        <item x="1"/>
        <item t="default"/>
      </items>
    </pivotField>
    <pivotField compact="0" numFmtId="165" outline="0" showAll="0"/>
    <pivotField compact="0" outline="0" showAll="0"/>
    <pivotField compact="0" outline="0" showAll="0">
      <items count="7">
        <item x="5"/>
        <item x="4"/>
        <item x="0"/>
        <item x="2"/>
        <item x="1"/>
        <item x="3"/>
        <item t="default"/>
      </items>
    </pivotField>
    <pivotField compact="0" outline="0" showAll="0"/>
    <pivotField compact="0" outline="0" showAll="0">
      <items count="4">
        <item x="0"/>
        <item x="1"/>
        <item x="2"/>
        <item t="default"/>
      </items>
    </pivotField>
    <pivotField compact="0" outline="0" showAll="0"/>
    <pivotField compact="0" outline="0" showAll="0"/>
    <pivotField axis="axisRow" compact="0" outline="0" showAll="0">
      <items count="5">
        <item x="0"/>
        <item x="1"/>
        <item m="1" x="3"/>
        <item x="2"/>
        <item t="default"/>
      </items>
    </pivotField>
    <pivotField compact="0" outline="0" showAll="0"/>
  </pivotFields>
  <rowFields count="1">
    <field x="14"/>
  </rowFields>
  <rowItems count="3">
    <i>
      <x/>
    </i>
    <i>
      <x v="1"/>
    </i>
    <i>
      <x v="3"/>
    </i>
  </rowItems>
  <colItems count="1">
    <i/>
  </colItems>
  <dataFields count="1">
    <dataField name="Count of ticke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3CBF22-0B4A-4B16-8B70-DC7A796AF7D1}"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A3:B5" firstHeaderRow="1" firstDataRow="1" firstDataCol="1"/>
  <pivotFields count="16">
    <pivotField dataField="1" compact="0" outline="0" showAll="0"/>
    <pivotField compact="0" outline="0" showAll="0"/>
    <pivotField compact="0" outline="0" showAll="0">
      <items count="3">
        <item x="0"/>
        <item x="1"/>
        <item t="default"/>
      </items>
    </pivotField>
    <pivotField compact="0" outline="0" showAll="0">
      <items count="9">
        <item x="1"/>
        <item x="4"/>
        <item x="3"/>
        <item x="0"/>
        <item x="7"/>
        <item x="5"/>
        <item x="2"/>
        <item x="6"/>
        <item t="default"/>
      </items>
    </pivotField>
    <pivotField compact="0" outline="0" showAll="0"/>
    <pivotField compact="0" outline="0" showAll="0">
      <items count="3">
        <item x="0"/>
        <item x="1"/>
        <item t="default"/>
      </items>
    </pivotField>
    <pivotField compact="0" outline="0" showAll="0">
      <items count="3">
        <item x="0"/>
        <item x="1"/>
        <item t="default"/>
      </items>
    </pivotField>
    <pivotField compact="0" numFmtId="165" outline="0" showAll="0"/>
    <pivotField compact="0" outline="0" showAll="0"/>
    <pivotField compact="0" outline="0" showAll="0">
      <items count="7">
        <item x="5"/>
        <item x="4"/>
        <item x="0"/>
        <item x="2"/>
        <item x="1"/>
        <item x="3"/>
        <item t="default"/>
      </items>
    </pivotField>
    <pivotField compact="0" outline="0" showAll="0"/>
    <pivotField compact="0" outline="0" showAll="0">
      <items count="4">
        <item x="0"/>
        <item x="1"/>
        <item x="2"/>
        <item t="default"/>
      </items>
    </pivotField>
    <pivotField compact="0" outline="0" showAll="0"/>
    <pivotField compact="0" outline="0" showAll="0"/>
    <pivotField compact="0" outline="0" showAll="0"/>
    <pivotField axis="axisRow" compact="0" outline="0" showAll="0">
      <items count="3">
        <item x="1"/>
        <item x="0"/>
        <item t="default"/>
      </items>
    </pivotField>
  </pivotFields>
  <rowFields count="1">
    <field x="15"/>
  </rowFields>
  <rowItems count="2">
    <i>
      <x/>
    </i>
    <i>
      <x v="1"/>
    </i>
  </rowItems>
  <colItems count="1">
    <i/>
  </colItems>
  <dataFields count="1">
    <dataField name="Count of ticket_id" fld="0"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1"/>
          </reference>
        </references>
      </pivotArea>
    </chartFormat>
    <chartFormat chart="0" format="2">
      <pivotArea type="data" outline="0" fieldPosition="0">
        <references count="2">
          <reference field="4294967294" count="1" selected="0">
            <x v="0"/>
          </reference>
          <reference field="15" count="1" selected="0">
            <x v="0"/>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5" count="1" selected="0">
            <x v="0"/>
          </reference>
        </references>
      </pivotArea>
    </chartFormat>
    <chartFormat chart="1" format="5">
      <pivotArea type="data" outline="0" fieldPosition="0">
        <references count="2">
          <reference field="4294967294" count="1" selected="0">
            <x v="0"/>
          </reference>
          <reference field="15"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5" count="1" selected="0">
            <x v="0"/>
          </reference>
        </references>
      </pivotArea>
    </chartFormat>
    <chartFormat chart="3" format="8">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F4A352B-40E8-4AA3-BD26-5328781652E5}" sourceName="category">
  <pivotTables>
    <pivotTable tabId="9" name="Tickets by Category"/>
    <pivotTable tabId="11" name="Ticket by Channel"/>
    <pivotTable tabId="12" name="PivotTable7"/>
    <pivotTable tabId="13" name="PivotTable1"/>
    <pivotTable tabId="14" name="PivotTable2"/>
    <pivotTable tabId="15" name="PivotTable3"/>
    <pivotTable tabId="16" name="PivotTable4"/>
    <pivotTable tabId="18" name="PivotTable6"/>
  </pivotTables>
  <data>
    <tabular pivotCacheId="564735071">
      <items count="8">
        <i x="1" s="1"/>
        <i x="4" s="1"/>
        <i x="3" s="1"/>
        <i x="0" s="1"/>
        <i x="7" s="1"/>
        <i x="5" s="1"/>
        <i x="2"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sat" xr10:uid="{1B6D4453-A0D0-4A05-A7D0-0943BCFAFFA9}" sourceName="csat">
  <pivotTables>
    <pivotTable tabId="9" name="Tickets by Category"/>
    <pivotTable tabId="11" name="Ticket by Channel"/>
    <pivotTable tabId="12" name="PivotTable7"/>
    <pivotTable tabId="13" name="PivotTable1"/>
    <pivotTable tabId="14" name="PivotTable2"/>
    <pivotTable tabId="15" name="PivotTable3"/>
    <pivotTable tabId="16" name="PivotTable4"/>
    <pivotTable tabId="18" name="PivotTable6"/>
  </pivotTables>
  <data>
    <tabular pivotCacheId="564735071">
      <items count="6">
        <i x="5" s="1"/>
        <i x="4" s="1"/>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5191464-421E-4BE1-9340-E2026E5D69B9}" sourceName="Month">
  <pivotTables>
    <pivotTable tabId="9" name="Tickets by Category"/>
    <pivotTable tabId="11" name="Ticket by Channel"/>
    <pivotTable tabId="12" name="PivotTable7"/>
    <pivotTable tabId="13" name="PivotTable1"/>
    <pivotTable tabId="14" name="PivotTable2"/>
    <pivotTable tabId="15" name="PivotTable3"/>
    <pivotTable tabId="16" name="PivotTable4"/>
    <pivotTable tabId="18" name="PivotTable6"/>
  </pivotTables>
  <data>
    <tabular pivotCacheId="56473507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374F4994-1CD3-4A40-8CDB-5B06A7389064}" sourceName="channel">
  <pivotTables>
    <pivotTable tabId="9" name="Tickets by Category"/>
    <pivotTable tabId="11" name="Ticket by Channel"/>
    <pivotTable tabId="12" name="PivotTable7"/>
    <pivotTable tabId="13" name="PivotTable1"/>
    <pivotTable tabId="14" name="PivotTable2"/>
    <pivotTable tabId="15" name="PivotTable3"/>
    <pivotTable tabId="16" name="PivotTable4"/>
    <pivotTable tabId="18" name="PivotTable6"/>
  </pivotTables>
  <data>
    <tabular pivotCacheId="564735071">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_version" xr10:uid="{4C5871F4-4D88-467F-A697-929396D6C27D}" sourceName="app_version">
  <pivotTables>
    <pivotTable tabId="9" name="Tickets by Category"/>
    <pivotTable tabId="11" name="Ticket by Channel"/>
    <pivotTable tabId="12" name="PivotTable7"/>
    <pivotTable tabId="13" name="PivotTable1"/>
    <pivotTable tabId="14" name="PivotTable2"/>
    <pivotTable tabId="15" name="PivotTable3"/>
    <pivotTable tabId="16" name="PivotTable4"/>
    <pivotTable tabId="18" name="PivotTable6"/>
  </pivotTables>
  <data>
    <tabular pivotCacheId="564735071">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s" xr10:uid="{E1CA0641-A79A-4942-BC3E-0E6372A3D971}" sourceName="os">
  <pivotTables>
    <pivotTable tabId="9" name="Tickets by Category"/>
    <pivotTable tabId="11" name="Ticket by Channel"/>
    <pivotTable tabId="12" name="PivotTable7"/>
    <pivotTable tabId="13" name="PivotTable1"/>
    <pivotTable tabId="14" name="PivotTable2"/>
    <pivotTable tabId="15" name="PivotTable3"/>
    <pivotTable tabId="16" name="PivotTable4"/>
    <pivotTable tabId="18" name="PivotTable6"/>
  </pivotTables>
  <data>
    <tabular pivotCacheId="56473507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11402776-EC3E-42A8-A945-CC7C05D9CE70}" cache="Slicer_category" caption="Category" rowHeight="241300"/>
  <slicer name="csat 1" xr10:uid="{DF120D90-292A-41F6-9303-6E493F05043C}" cache="Slicer_csat" caption="CSAT" rowHeight="241300"/>
  <slicer name="Month 1" xr10:uid="{62D4DD12-DBED-4BB1-9DCC-57446ACB73DF}" cache="Slicer_Month" caption="Month" rowHeight="241300"/>
  <slicer name="channel 1" xr10:uid="{7E40DDAE-E7B6-4832-A206-E09DB33C2590}" cache="Slicer_channel" caption="Channel" rowHeight="241300"/>
  <slicer name="app_version 1" xr10:uid="{3753455D-A4DA-4334-867A-3C5263BEB28C}" cache="Slicer_app_version" caption="Version" rowHeight="241300"/>
  <slicer name="os 1" xr10:uid="{6872F5B4-4450-41A6-A3F1-966E2F19A2A6}" cache="Slicer_os" caption="O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E47B0CC-3356-4035-9A96-5679E95C10E6}" cache="Slicer_category" caption="category" rowHeight="241300"/>
  <slicer name="csat" xr10:uid="{DB1B6153-C303-4260-B04B-C0C6FE32E768}" cache="Slicer_csat" caption="csat" rowHeight="241300"/>
  <slicer name="Month" xr10:uid="{DB53E523-B332-47B6-AC35-4DF80A3C1B89}" cache="Slicer_Month" caption="Month" rowHeight="241300"/>
  <slicer name="channel" xr10:uid="{3AB680BB-A76B-41ED-87A9-56A0E3D94006}" cache="Slicer_channel" caption="Channel" rowHeight="241300"/>
  <slicer name="app_version" xr10:uid="{62EB4DC1-A964-43C5-B675-2B05E440B4D4}" cache="Slicer_app_version" caption="Version" rowHeight="241300"/>
  <slicer name="os" xr10:uid="{6400AA9D-92B0-4A38-9F88-6F78428CCD33}" cache="Slicer_os" caption="O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CC57AF-E252-473B-B41C-3A9E9106A203}" name="Ticket_Table" displayName="Ticket_Table" ref="A1:P240" totalsRowShown="0" headerRowDxfId="17" dataDxfId="16">
  <autoFilter ref="A1:P240" xr:uid="{0ECC57AF-E252-473B-B41C-3A9E9106A203}"/>
  <tableColumns count="16">
    <tableColumn id="1" xr3:uid="{F200B2BA-DEC2-4EC0-A12A-7683F39244AC}" name="ticket_id" dataDxfId="15"/>
    <tableColumn id="2" xr3:uid="{B698BC26-53F0-49D3-9644-12A9BE567702}" name="created_date" dataDxfId="14"/>
    <tableColumn id="3" xr3:uid="{5B497BF6-71DA-469B-8528-38CB3A2F742C}" name="channel" dataDxfId="13"/>
    <tableColumn id="4" xr3:uid="{2950CF44-CD30-446D-990F-7C924EBC68CE}" name="category" dataDxfId="12"/>
    <tableColumn id="5" xr3:uid="{F7B58F8C-1E84-48BE-A99B-130E0CB45732}" name="subject" dataDxfId="11"/>
    <tableColumn id="6" xr3:uid="{6586512A-F121-4EE3-8720-9A89AD000DA1}" name="app_version" dataDxfId="10"/>
    <tableColumn id="7" xr3:uid="{DDE6F41C-F77C-42C3-9FFA-31C1C278BC95}" name="os" dataDxfId="9"/>
    <tableColumn id="8" xr3:uid="{3970EE29-3410-488C-903E-451FC9A35682}" name="first_response_hours" dataDxfId="8"/>
    <tableColumn id="9" xr3:uid="{1DC981E5-EE58-4CC6-9906-16F053310835}" name="resolution_hours" dataDxfId="7"/>
    <tableColumn id="10" xr3:uid="{9E35C31E-7C03-4B86-A335-8E0AB52202DB}" name="csat" dataDxfId="6"/>
    <tableColumn id="11" xr3:uid="{9A94848C-D422-4226-9428-AFD7906DAB0A}" name="status" dataDxfId="5"/>
    <tableColumn id="12" xr3:uid="{EC46925B-0FF1-4FF7-B3F4-158E7F623B4E}" name="month" dataDxfId="4">
      <calculatedColumnFormula>TEXT(B2,"mmmm")</calculatedColumnFormula>
    </tableColumn>
    <tableColumn id="14" xr3:uid="{54A34128-C309-4166-B2FD-BB77077D2474}" name="csat_rated" dataDxfId="3">
      <calculatedColumnFormula>IF(ISBLANK(J2), "Not Rated", "Rated")</calculatedColumnFormula>
    </tableColumn>
    <tableColumn id="15" xr3:uid="{D324C8CD-CD14-4636-AC0B-0D2A1AE86159}" name="csat_bucket" dataDxfId="2">
      <calculatedColumnFormula>IF(J2&gt;=4, "Satisfied", IF(J2=3, "Neutral",IF(J2&gt;=1,"Dissatisfied", "Not Rated")))</calculatedColumnFormula>
    </tableColumn>
    <tableColumn id="16" xr3:uid="{871FB63B-5BF4-4EE9-AA0B-20479393C324}" name="time_taken_to_resolve" dataDxfId="1">
      <calculatedColumnFormula>IF(I2&lt;=24,"1 Day",IF(I2&gt;48,"More than 2 days", "2 Days"))</calculatedColumnFormula>
    </tableColumn>
    <tableColumn id="17" xr3:uid="{7FB16228-E098-435F-8DAE-A3BE63963E7F}" name="sla_first_response_met" dataDxfId="0">
      <calculatedColumnFormula>IF(H2&lt;=6, "SLA met","Failed to meet SLA")</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DE57B-8EE8-4775-9936-E5EB8AA1A248}">
  <dimension ref="A1:AB1"/>
  <sheetViews>
    <sheetView zoomScale="70" zoomScaleNormal="70" workbookViewId="0">
      <selection sqref="A1:AB1"/>
    </sheetView>
  </sheetViews>
  <sheetFormatPr defaultRowHeight="14.5" x14ac:dyDescent="0.35"/>
  <cols>
    <col min="1" max="16384" width="8.7265625" style="11"/>
  </cols>
  <sheetData>
    <row r="1" spans="1:28" ht="23.5" x14ac:dyDescent="0.55000000000000004">
      <c r="A1" s="22" t="s">
        <v>568</v>
      </c>
      <c r="B1" s="23"/>
      <c r="C1" s="23"/>
      <c r="D1" s="23"/>
      <c r="E1" s="23"/>
      <c r="F1" s="23"/>
      <c r="G1" s="23"/>
      <c r="H1" s="23"/>
      <c r="I1" s="23"/>
      <c r="J1" s="23"/>
      <c r="K1" s="23"/>
      <c r="L1" s="23"/>
      <c r="M1" s="23"/>
      <c r="N1" s="23"/>
      <c r="O1" s="23"/>
      <c r="P1" s="23"/>
      <c r="Q1" s="23"/>
      <c r="R1" s="23"/>
      <c r="S1" s="23"/>
      <c r="T1" s="23"/>
      <c r="U1" s="23"/>
      <c r="V1" s="23"/>
      <c r="W1" s="23"/>
      <c r="X1" s="23"/>
      <c r="Y1" s="23"/>
      <c r="Z1" s="23"/>
      <c r="AA1" s="23"/>
      <c r="AB1" s="23"/>
    </row>
  </sheetData>
  <mergeCells count="1">
    <mergeCell ref="A1:AB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tabSelected="1" topLeftCell="I1" workbookViewId="0">
      <pane ySplit="1" topLeftCell="A2" activePane="bottomLeft" state="frozen"/>
      <selection pane="bottomLeft" activeCell="P3" sqref="P3"/>
    </sheetView>
  </sheetViews>
  <sheetFormatPr defaultColWidth="14.453125" defaultRowHeight="15" customHeight="1" x14ac:dyDescent="0.35"/>
  <cols>
    <col min="1" max="1" width="11" customWidth="1"/>
    <col min="2" max="2" width="18" style="5" customWidth="1"/>
    <col min="3" max="3" width="10.08984375" customWidth="1"/>
    <col min="4" max="4" width="20" customWidth="1"/>
    <col min="5" max="5" width="39" customWidth="1"/>
    <col min="6" max="6" width="14.26953125" style="7" customWidth="1"/>
    <col min="7" max="7" width="10" customWidth="1"/>
    <col min="8" max="8" width="22.54296875" style="10" customWidth="1"/>
    <col min="9" max="9" width="18.453125" style="10" customWidth="1"/>
    <col min="10" max="10" width="10" customWidth="1"/>
    <col min="11" max="11" width="18" customWidth="1"/>
    <col min="12" max="12" width="15.26953125" style="15" bestFit="1" customWidth="1"/>
    <col min="13" max="13" width="12.81640625" bestFit="1" customWidth="1"/>
    <col min="14" max="14" width="14.36328125" bestFit="1" customWidth="1"/>
    <col min="15" max="15" width="24.26953125" bestFit="1" customWidth="1"/>
    <col min="16" max="16" width="24.90625" bestFit="1" customWidth="1"/>
    <col min="17" max="25" width="8.7265625" customWidth="1"/>
  </cols>
  <sheetData>
    <row r="1" spans="1:16" ht="14.5" x14ac:dyDescent="0.35">
      <c r="A1" s="1" t="s">
        <v>0</v>
      </c>
      <c r="B1" s="3" t="s">
        <v>1</v>
      </c>
      <c r="C1" s="1" t="s">
        <v>2</v>
      </c>
      <c r="D1" s="1" t="s">
        <v>3</v>
      </c>
      <c r="E1" s="1" t="s">
        <v>4</v>
      </c>
      <c r="F1" s="6" t="s">
        <v>5</v>
      </c>
      <c r="G1" s="1" t="s">
        <v>6</v>
      </c>
      <c r="H1" s="8" t="s">
        <v>7</v>
      </c>
      <c r="I1" s="8" t="s">
        <v>8</v>
      </c>
      <c r="J1" s="1" t="s">
        <v>9</v>
      </c>
      <c r="K1" s="1" t="s">
        <v>10</v>
      </c>
      <c r="L1" s="14" t="s">
        <v>585</v>
      </c>
      <c r="M1" s="13" t="s">
        <v>569</v>
      </c>
      <c r="N1" s="13" t="s">
        <v>570</v>
      </c>
      <c r="O1" s="18" t="s">
        <v>578</v>
      </c>
      <c r="P1" s="18" t="s">
        <v>582</v>
      </c>
    </row>
    <row r="2" spans="1:16" ht="14.5" x14ac:dyDescent="0.35">
      <c r="A2" s="2" t="s">
        <v>11</v>
      </c>
      <c r="B2" s="4" t="s">
        <v>12</v>
      </c>
      <c r="C2" s="2" t="s">
        <v>13</v>
      </c>
      <c r="D2" s="2" t="s">
        <v>14</v>
      </c>
      <c r="E2" s="2" t="s">
        <v>15</v>
      </c>
      <c r="F2" s="2">
        <v>3.1</v>
      </c>
      <c r="G2" s="2" t="s">
        <v>16</v>
      </c>
      <c r="H2" s="9">
        <v>1.8</v>
      </c>
      <c r="I2" s="9">
        <v>8.1999999999999993</v>
      </c>
      <c r="J2" s="2">
        <v>3</v>
      </c>
      <c r="K2" s="2" t="s">
        <v>17</v>
      </c>
      <c r="L2" s="19" t="str">
        <f>TEXT(B2,"mmmm")</f>
        <v>May</v>
      </c>
      <c r="M2" s="12" t="str">
        <f t="shared" ref="M2:M65" si="0">IF(ISBLANK(J2), "Not Rated", "Rated")</f>
        <v>Rated</v>
      </c>
      <c r="N2" s="12" t="str">
        <f>IF(J2&gt;=4, "Satisfied", IF(J2=3, "Neutral",IF(J2&gt;=1,"Dissatisfied", "Not Rated")))</f>
        <v>Neutral</v>
      </c>
      <c r="O2" s="2" t="str">
        <f t="shared" ref="O2:O65" si="1">IF(I2&lt;=24,"1 Day",IF(I2&gt;48,"More than 2 days", "2 Days"))</f>
        <v>1 Day</v>
      </c>
      <c r="P2" s="2" t="str">
        <f t="shared" ref="P2:P65" si="2">IF(H2&lt;=6, "SLA met","Failed to meet SLA")</f>
        <v>SLA met</v>
      </c>
    </row>
    <row r="3" spans="1:16" ht="14.5" x14ac:dyDescent="0.35">
      <c r="A3" s="2" t="s">
        <v>18</v>
      </c>
      <c r="B3" s="4" t="s">
        <v>19</v>
      </c>
      <c r="C3" s="2" t="s">
        <v>13</v>
      </c>
      <c r="D3" s="2" t="s">
        <v>20</v>
      </c>
      <c r="E3" s="2" t="s">
        <v>21</v>
      </c>
      <c r="F3" s="2">
        <v>3.1</v>
      </c>
      <c r="G3" s="2" t="s">
        <v>16</v>
      </c>
      <c r="H3" s="9">
        <v>1.8</v>
      </c>
      <c r="I3" s="9">
        <v>18.600000000000001</v>
      </c>
      <c r="J3" s="2">
        <v>5</v>
      </c>
      <c r="K3" s="2" t="s">
        <v>17</v>
      </c>
      <c r="L3" s="19" t="str">
        <f t="shared" ref="L3:L66" si="3">TEXT(B3,"mmmm")</f>
        <v>May</v>
      </c>
      <c r="M3" s="12" t="str">
        <f t="shared" si="0"/>
        <v>Rated</v>
      </c>
      <c r="N3" s="12" t="str">
        <f t="shared" ref="N3:N66" si="4">IF(J3&gt;=4, "Satisfied", IF(J3=3, "Neutral",IF(J3&gt;=1,"Dissatisfied", "Not Rated")))</f>
        <v>Satisfied</v>
      </c>
      <c r="O3" s="2" t="str">
        <f t="shared" si="1"/>
        <v>1 Day</v>
      </c>
      <c r="P3" s="2" t="str">
        <f t="shared" si="2"/>
        <v>SLA met</v>
      </c>
    </row>
    <row r="4" spans="1:16" ht="14.5" x14ac:dyDescent="0.35">
      <c r="A4" s="2" t="s">
        <v>22</v>
      </c>
      <c r="B4" s="4" t="s">
        <v>23</v>
      </c>
      <c r="C4" s="2" t="s">
        <v>24</v>
      </c>
      <c r="D4" s="2" t="s">
        <v>14</v>
      </c>
      <c r="E4" s="2" t="s">
        <v>25</v>
      </c>
      <c r="F4" s="2">
        <v>3.1</v>
      </c>
      <c r="G4" s="2" t="s">
        <v>16</v>
      </c>
      <c r="H4" s="9">
        <v>12</v>
      </c>
      <c r="I4" s="9">
        <v>12.6</v>
      </c>
      <c r="J4" s="2">
        <v>3</v>
      </c>
      <c r="K4" s="2" t="s">
        <v>17</v>
      </c>
      <c r="L4" s="19" t="str">
        <f t="shared" si="3"/>
        <v>May</v>
      </c>
      <c r="M4" s="12" t="str">
        <f t="shared" si="0"/>
        <v>Rated</v>
      </c>
      <c r="N4" s="12" t="str">
        <f t="shared" si="4"/>
        <v>Neutral</v>
      </c>
      <c r="O4" s="2" t="str">
        <f t="shared" si="1"/>
        <v>1 Day</v>
      </c>
      <c r="P4" s="2" t="str">
        <f t="shared" si="2"/>
        <v>Failed to meet SLA</v>
      </c>
    </row>
    <row r="5" spans="1:16" ht="14.5" x14ac:dyDescent="0.35">
      <c r="A5" s="2" t="s">
        <v>26</v>
      </c>
      <c r="B5" s="4" t="s">
        <v>27</v>
      </c>
      <c r="C5" s="2" t="s">
        <v>13</v>
      </c>
      <c r="D5" s="2" t="s">
        <v>28</v>
      </c>
      <c r="E5" s="2" t="s">
        <v>29</v>
      </c>
      <c r="F5" s="2">
        <v>3.1</v>
      </c>
      <c r="G5" s="2" t="s">
        <v>30</v>
      </c>
      <c r="H5" s="9">
        <v>2.2000000000000002</v>
      </c>
      <c r="I5" s="9">
        <v>12.2</v>
      </c>
      <c r="J5" s="2">
        <v>4</v>
      </c>
      <c r="K5" s="2" t="s">
        <v>17</v>
      </c>
      <c r="L5" s="19" t="str">
        <f t="shared" si="3"/>
        <v>May</v>
      </c>
      <c r="M5" s="12" t="str">
        <f t="shared" si="0"/>
        <v>Rated</v>
      </c>
      <c r="N5" s="12" t="str">
        <f t="shared" si="4"/>
        <v>Satisfied</v>
      </c>
      <c r="O5" s="2" t="str">
        <f t="shared" si="1"/>
        <v>1 Day</v>
      </c>
      <c r="P5" s="2" t="str">
        <f t="shared" si="2"/>
        <v>SLA met</v>
      </c>
    </row>
    <row r="6" spans="1:16" ht="14.5" x14ac:dyDescent="0.35">
      <c r="A6" s="2" t="s">
        <v>31</v>
      </c>
      <c r="B6" s="4" t="s">
        <v>32</v>
      </c>
      <c r="C6" s="2" t="s">
        <v>24</v>
      </c>
      <c r="D6" s="2" t="s">
        <v>33</v>
      </c>
      <c r="E6" s="2" t="s">
        <v>34</v>
      </c>
      <c r="F6" s="2">
        <v>3.1</v>
      </c>
      <c r="G6" s="2" t="s">
        <v>16</v>
      </c>
      <c r="H6" s="9">
        <v>8</v>
      </c>
      <c r="I6" s="9">
        <v>6</v>
      </c>
      <c r="J6" s="2"/>
      <c r="K6" s="2" t="s">
        <v>17</v>
      </c>
      <c r="L6" s="19" t="str">
        <f t="shared" si="3"/>
        <v>May</v>
      </c>
      <c r="M6" s="12" t="str">
        <f t="shared" si="0"/>
        <v>Not Rated</v>
      </c>
      <c r="N6" s="12" t="str">
        <f t="shared" si="4"/>
        <v>Not Rated</v>
      </c>
      <c r="O6" s="2" t="str">
        <f t="shared" si="1"/>
        <v>1 Day</v>
      </c>
      <c r="P6" s="2" t="str">
        <f t="shared" si="2"/>
        <v>Failed to meet SLA</v>
      </c>
    </row>
    <row r="7" spans="1:16" ht="14.5" x14ac:dyDescent="0.35">
      <c r="A7" s="2" t="s">
        <v>35</v>
      </c>
      <c r="B7" s="4" t="s">
        <v>36</v>
      </c>
      <c r="C7" s="2" t="s">
        <v>24</v>
      </c>
      <c r="D7" s="2" t="s">
        <v>14</v>
      </c>
      <c r="E7" s="2" t="s">
        <v>25</v>
      </c>
      <c r="F7" s="2">
        <v>3.1</v>
      </c>
      <c r="G7" s="2" t="s">
        <v>16</v>
      </c>
      <c r="H7" s="9">
        <v>8.8000000000000007</v>
      </c>
      <c r="I7" s="9">
        <v>4.9000000000000004</v>
      </c>
      <c r="J7" s="2">
        <v>3</v>
      </c>
      <c r="K7" s="2" t="s">
        <v>17</v>
      </c>
      <c r="L7" s="19" t="str">
        <f t="shared" si="3"/>
        <v>May</v>
      </c>
      <c r="M7" s="12" t="str">
        <f t="shared" si="0"/>
        <v>Rated</v>
      </c>
      <c r="N7" s="12" t="str">
        <f t="shared" si="4"/>
        <v>Neutral</v>
      </c>
      <c r="O7" s="2" t="str">
        <f t="shared" si="1"/>
        <v>1 Day</v>
      </c>
      <c r="P7" s="2" t="str">
        <f t="shared" si="2"/>
        <v>Failed to meet SLA</v>
      </c>
    </row>
    <row r="8" spans="1:16" ht="14.5" x14ac:dyDescent="0.35">
      <c r="A8" s="2" t="s">
        <v>37</v>
      </c>
      <c r="B8" s="4" t="s">
        <v>38</v>
      </c>
      <c r="C8" s="2" t="s">
        <v>13</v>
      </c>
      <c r="D8" s="2" t="s">
        <v>14</v>
      </c>
      <c r="E8" s="2" t="s">
        <v>15</v>
      </c>
      <c r="F8" s="2">
        <v>3.1</v>
      </c>
      <c r="G8" s="2" t="s">
        <v>30</v>
      </c>
      <c r="H8" s="9">
        <v>2.2000000000000002</v>
      </c>
      <c r="I8" s="9">
        <v>20.5</v>
      </c>
      <c r="J8" s="2">
        <v>4</v>
      </c>
      <c r="K8" s="2" t="s">
        <v>17</v>
      </c>
      <c r="L8" s="19" t="str">
        <f t="shared" si="3"/>
        <v>May</v>
      </c>
      <c r="M8" s="12" t="str">
        <f t="shared" si="0"/>
        <v>Rated</v>
      </c>
      <c r="N8" s="12" t="str">
        <f t="shared" si="4"/>
        <v>Satisfied</v>
      </c>
      <c r="O8" s="2" t="str">
        <f t="shared" si="1"/>
        <v>1 Day</v>
      </c>
      <c r="P8" s="2" t="str">
        <f t="shared" si="2"/>
        <v>SLA met</v>
      </c>
    </row>
    <row r="9" spans="1:16" ht="14.5" x14ac:dyDescent="0.35">
      <c r="A9" s="2" t="s">
        <v>39</v>
      </c>
      <c r="B9" s="4" t="s">
        <v>40</v>
      </c>
      <c r="C9" s="2" t="s">
        <v>24</v>
      </c>
      <c r="D9" s="2" t="s">
        <v>41</v>
      </c>
      <c r="E9" s="2" t="s">
        <v>42</v>
      </c>
      <c r="F9" s="2">
        <v>3.1</v>
      </c>
      <c r="G9" s="2" t="s">
        <v>16</v>
      </c>
      <c r="H9" s="9">
        <v>1.1000000000000001</v>
      </c>
      <c r="I9" s="9">
        <v>25</v>
      </c>
      <c r="J9" s="2">
        <v>3</v>
      </c>
      <c r="K9" s="2" t="s">
        <v>17</v>
      </c>
      <c r="L9" s="19" t="str">
        <f t="shared" si="3"/>
        <v>May</v>
      </c>
      <c r="M9" s="12" t="str">
        <f t="shared" si="0"/>
        <v>Rated</v>
      </c>
      <c r="N9" s="12" t="str">
        <f t="shared" si="4"/>
        <v>Neutral</v>
      </c>
      <c r="O9" s="2" t="str">
        <f t="shared" si="1"/>
        <v>2 Days</v>
      </c>
      <c r="P9" s="2" t="str">
        <f t="shared" si="2"/>
        <v>SLA met</v>
      </c>
    </row>
    <row r="10" spans="1:16" ht="14.5" x14ac:dyDescent="0.35">
      <c r="A10" s="2" t="s">
        <v>43</v>
      </c>
      <c r="B10" s="4" t="s">
        <v>44</v>
      </c>
      <c r="C10" s="2" t="s">
        <v>24</v>
      </c>
      <c r="D10" s="2" t="s">
        <v>45</v>
      </c>
      <c r="E10" s="2" t="s">
        <v>46</v>
      </c>
      <c r="F10" s="2">
        <v>3.1</v>
      </c>
      <c r="G10" s="2" t="s">
        <v>16</v>
      </c>
      <c r="H10" s="9">
        <v>2.2000000000000002</v>
      </c>
      <c r="I10" s="9">
        <v>23.7</v>
      </c>
      <c r="J10" s="2">
        <v>5</v>
      </c>
      <c r="K10" s="2" t="s">
        <v>17</v>
      </c>
      <c r="L10" s="19" t="str">
        <f t="shared" si="3"/>
        <v>May</v>
      </c>
      <c r="M10" s="12" t="str">
        <f t="shared" si="0"/>
        <v>Rated</v>
      </c>
      <c r="N10" s="12" t="str">
        <f t="shared" si="4"/>
        <v>Satisfied</v>
      </c>
      <c r="O10" s="2" t="str">
        <f t="shared" si="1"/>
        <v>1 Day</v>
      </c>
      <c r="P10" s="2" t="str">
        <f t="shared" si="2"/>
        <v>SLA met</v>
      </c>
    </row>
    <row r="11" spans="1:16" ht="14.5" x14ac:dyDescent="0.35">
      <c r="A11" s="2" t="s">
        <v>47</v>
      </c>
      <c r="B11" s="4" t="s">
        <v>48</v>
      </c>
      <c r="C11" s="2" t="s">
        <v>13</v>
      </c>
      <c r="D11" s="2" t="s">
        <v>20</v>
      </c>
      <c r="E11" s="2" t="s">
        <v>49</v>
      </c>
      <c r="F11" s="2">
        <v>3.1</v>
      </c>
      <c r="G11" s="2" t="s">
        <v>16</v>
      </c>
      <c r="H11" s="9">
        <v>1.6</v>
      </c>
      <c r="I11" s="9">
        <v>16.3</v>
      </c>
      <c r="J11" s="2">
        <v>4</v>
      </c>
      <c r="K11" s="2" t="s">
        <v>17</v>
      </c>
      <c r="L11" s="19" t="str">
        <f t="shared" si="3"/>
        <v>May</v>
      </c>
      <c r="M11" s="12" t="str">
        <f t="shared" si="0"/>
        <v>Rated</v>
      </c>
      <c r="N11" s="12" t="str">
        <f t="shared" si="4"/>
        <v>Satisfied</v>
      </c>
      <c r="O11" s="2" t="str">
        <f t="shared" si="1"/>
        <v>1 Day</v>
      </c>
      <c r="P11" s="2" t="str">
        <f t="shared" si="2"/>
        <v>SLA met</v>
      </c>
    </row>
    <row r="12" spans="1:16" ht="14.5" x14ac:dyDescent="0.35">
      <c r="A12" s="2" t="s">
        <v>50</v>
      </c>
      <c r="B12" s="4" t="s">
        <v>51</v>
      </c>
      <c r="C12" s="2" t="s">
        <v>24</v>
      </c>
      <c r="D12" s="2" t="s">
        <v>52</v>
      </c>
      <c r="E12" s="2" t="s">
        <v>53</v>
      </c>
      <c r="F12" s="2">
        <v>3.1</v>
      </c>
      <c r="G12" s="2" t="s">
        <v>30</v>
      </c>
      <c r="H12" s="9">
        <v>12.7</v>
      </c>
      <c r="I12" s="9">
        <v>30.2</v>
      </c>
      <c r="J12" s="2">
        <v>5</v>
      </c>
      <c r="K12" s="2" t="s">
        <v>17</v>
      </c>
      <c r="L12" s="19" t="str">
        <f t="shared" si="3"/>
        <v>May</v>
      </c>
      <c r="M12" s="12" t="str">
        <f t="shared" si="0"/>
        <v>Rated</v>
      </c>
      <c r="N12" s="12" t="str">
        <f t="shared" si="4"/>
        <v>Satisfied</v>
      </c>
      <c r="O12" s="2" t="str">
        <f t="shared" si="1"/>
        <v>2 Days</v>
      </c>
      <c r="P12" s="2" t="str">
        <f t="shared" si="2"/>
        <v>Failed to meet SLA</v>
      </c>
    </row>
    <row r="13" spans="1:16" ht="14.5" x14ac:dyDescent="0.35">
      <c r="A13" s="2" t="s">
        <v>54</v>
      </c>
      <c r="B13" s="4" t="s">
        <v>55</v>
      </c>
      <c r="C13" s="2" t="s">
        <v>13</v>
      </c>
      <c r="D13" s="2" t="s">
        <v>14</v>
      </c>
      <c r="E13" s="2" t="s">
        <v>56</v>
      </c>
      <c r="F13" s="2">
        <v>3.1</v>
      </c>
      <c r="G13" s="2" t="s">
        <v>16</v>
      </c>
      <c r="H13" s="9">
        <v>1.5</v>
      </c>
      <c r="I13" s="9">
        <v>6.6</v>
      </c>
      <c r="J13" s="2">
        <v>5</v>
      </c>
      <c r="K13" s="2" t="s">
        <v>17</v>
      </c>
      <c r="L13" s="19" t="str">
        <f t="shared" si="3"/>
        <v>May</v>
      </c>
      <c r="M13" s="12" t="str">
        <f t="shared" si="0"/>
        <v>Rated</v>
      </c>
      <c r="N13" s="12" t="str">
        <f t="shared" si="4"/>
        <v>Satisfied</v>
      </c>
      <c r="O13" s="2" t="str">
        <f t="shared" si="1"/>
        <v>1 Day</v>
      </c>
      <c r="P13" s="2" t="str">
        <f t="shared" si="2"/>
        <v>SLA met</v>
      </c>
    </row>
    <row r="14" spans="1:16" ht="14.5" x14ac:dyDescent="0.35">
      <c r="A14" s="2" t="s">
        <v>57</v>
      </c>
      <c r="B14" s="4" t="s">
        <v>58</v>
      </c>
      <c r="C14" s="2" t="s">
        <v>13</v>
      </c>
      <c r="D14" s="2" t="s">
        <v>28</v>
      </c>
      <c r="E14" s="2" t="s">
        <v>59</v>
      </c>
      <c r="F14" s="2">
        <v>3.1</v>
      </c>
      <c r="G14" s="2" t="s">
        <v>30</v>
      </c>
      <c r="H14" s="9">
        <v>1.9</v>
      </c>
      <c r="I14" s="9">
        <v>13.8</v>
      </c>
      <c r="J14" s="2"/>
      <c r="K14" s="2" t="s">
        <v>17</v>
      </c>
      <c r="L14" s="19" t="str">
        <f t="shared" si="3"/>
        <v>May</v>
      </c>
      <c r="M14" s="12" t="str">
        <f t="shared" si="0"/>
        <v>Not Rated</v>
      </c>
      <c r="N14" s="12" t="str">
        <f t="shared" si="4"/>
        <v>Not Rated</v>
      </c>
      <c r="O14" s="2" t="str">
        <f t="shared" si="1"/>
        <v>1 Day</v>
      </c>
      <c r="P14" s="2" t="str">
        <f t="shared" si="2"/>
        <v>SLA met</v>
      </c>
    </row>
    <row r="15" spans="1:16" ht="14.5" x14ac:dyDescent="0.35">
      <c r="A15" s="2" t="s">
        <v>60</v>
      </c>
      <c r="B15" s="4" t="s">
        <v>61</v>
      </c>
      <c r="C15" s="2" t="s">
        <v>13</v>
      </c>
      <c r="D15" s="2" t="s">
        <v>20</v>
      </c>
      <c r="E15" s="2" t="s">
        <v>21</v>
      </c>
      <c r="F15" s="2">
        <v>3.1</v>
      </c>
      <c r="G15" s="2" t="s">
        <v>30</v>
      </c>
      <c r="H15" s="9">
        <v>2.2999999999999998</v>
      </c>
      <c r="I15" s="9">
        <v>3.7</v>
      </c>
      <c r="J15" s="2">
        <v>4</v>
      </c>
      <c r="K15" s="2" t="s">
        <v>17</v>
      </c>
      <c r="L15" s="19" t="str">
        <f t="shared" si="3"/>
        <v>May</v>
      </c>
      <c r="M15" s="12" t="str">
        <f t="shared" si="0"/>
        <v>Rated</v>
      </c>
      <c r="N15" s="12" t="str">
        <f t="shared" si="4"/>
        <v>Satisfied</v>
      </c>
      <c r="O15" s="2" t="str">
        <f t="shared" si="1"/>
        <v>1 Day</v>
      </c>
      <c r="P15" s="2" t="str">
        <f t="shared" si="2"/>
        <v>SLA met</v>
      </c>
    </row>
    <row r="16" spans="1:16" ht="14.5" x14ac:dyDescent="0.35">
      <c r="A16" s="2" t="s">
        <v>62</v>
      </c>
      <c r="B16" s="4" t="s">
        <v>63</v>
      </c>
      <c r="C16" s="2" t="s">
        <v>13</v>
      </c>
      <c r="D16" s="2" t="s">
        <v>20</v>
      </c>
      <c r="E16" s="2" t="s">
        <v>21</v>
      </c>
      <c r="F16" s="2">
        <v>3.1</v>
      </c>
      <c r="G16" s="2" t="s">
        <v>30</v>
      </c>
      <c r="H16" s="9">
        <v>0.5</v>
      </c>
      <c r="I16" s="9">
        <v>4.2</v>
      </c>
      <c r="J16" s="2">
        <v>4</v>
      </c>
      <c r="K16" s="2" t="s">
        <v>17</v>
      </c>
      <c r="L16" s="19" t="str">
        <f t="shared" si="3"/>
        <v>May</v>
      </c>
      <c r="M16" s="12" t="str">
        <f t="shared" si="0"/>
        <v>Rated</v>
      </c>
      <c r="N16" s="12" t="str">
        <f t="shared" si="4"/>
        <v>Satisfied</v>
      </c>
      <c r="O16" s="2" t="str">
        <f t="shared" si="1"/>
        <v>1 Day</v>
      </c>
      <c r="P16" s="2" t="str">
        <f t="shared" si="2"/>
        <v>SLA met</v>
      </c>
    </row>
    <row r="17" spans="1:16" ht="14.5" x14ac:dyDescent="0.35">
      <c r="A17" s="2" t="s">
        <v>64</v>
      </c>
      <c r="B17" s="4" t="s">
        <v>65</v>
      </c>
      <c r="C17" s="2" t="s">
        <v>24</v>
      </c>
      <c r="D17" s="2" t="s">
        <v>45</v>
      </c>
      <c r="E17" s="2" t="s">
        <v>66</v>
      </c>
      <c r="F17" s="2">
        <v>3.1</v>
      </c>
      <c r="G17" s="2" t="s">
        <v>16</v>
      </c>
      <c r="H17" s="9">
        <v>1.8</v>
      </c>
      <c r="I17" s="9">
        <v>53.5</v>
      </c>
      <c r="J17" s="2"/>
      <c r="K17" s="2" t="s">
        <v>17</v>
      </c>
      <c r="L17" s="19" t="str">
        <f t="shared" si="3"/>
        <v>May</v>
      </c>
      <c r="M17" s="12" t="str">
        <f t="shared" si="0"/>
        <v>Not Rated</v>
      </c>
      <c r="N17" s="12" t="str">
        <f t="shared" si="4"/>
        <v>Not Rated</v>
      </c>
      <c r="O17" s="2" t="str">
        <f t="shared" si="1"/>
        <v>More than 2 days</v>
      </c>
      <c r="P17" s="2" t="str">
        <f t="shared" si="2"/>
        <v>SLA met</v>
      </c>
    </row>
    <row r="18" spans="1:16" ht="14.5" x14ac:dyDescent="0.35">
      <c r="A18" s="2" t="s">
        <v>67</v>
      </c>
      <c r="B18" s="4" t="s">
        <v>68</v>
      </c>
      <c r="C18" s="2" t="s">
        <v>13</v>
      </c>
      <c r="D18" s="2" t="s">
        <v>33</v>
      </c>
      <c r="E18" s="2" t="s">
        <v>34</v>
      </c>
      <c r="F18" s="2">
        <v>3.1</v>
      </c>
      <c r="G18" s="2" t="s">
        <v>16</v>
      </c>
      <c r="H18" s="9">
        <v>1.3</v>
      </c>
      <c r="I18" s="9">
        <v>12.1</v>
      </c>
      <c r="J18" s="2">
        <v>3</v>
      </c>
      <c r="K18" s="2" t="s">
        <v>17</v>
      </c>
      <c r="L18" s="19" t="str">
        <f t="shared" si="3"/>
        <v>May</v>
      </c>
      <c r="M18" s="12" t="str">
        <f t="shared" si="0"/>
        <v>Rated</v>
      </c>
      <c r="N18" s="12" t="str">
        <f t="shared" si="4"/>
        <v>Neutral</v>
      </c>
      <c r="O18" s="2" t="str">
        <f t="shared" si="1"/>
        <v>1 Day</v>
      </c>
      <c r="P18" s="2" t="str">
        <f t="shared" si="2"/>
        <v>SLA met</v>
      </c>
    </row>
    <row r="19" spans="1:16" ht="14.5" x14ac:dyDescent="0.35">
      <c r="A19" s="2" t="s">
        <v>69</v>
      </c>
      <c r="B19" s="4" t="s">
        <v>70</v>
      </c>
      <c r="C19" s="2" t="s">
        <v>24</v>
      </c>
      <c r="D19" s="2" t="s">
        <v>41</v>
      </c>
      <c r="E19" s="2" t="s">
        <v>42</v>
      </c>
      <c r="F19" s="2">
        <v>3.1</v>
      </c>
      <c r="G19" s="2" t="s">
        <v>30</v>
      </c>
      <c r="H19" s="9">
        <v>4.5999999999999996</v>
      </c>
      <c r="I19" s="9">
        <v>65.3</v>
      </c>
      <c r="J19" s="2"/>
      <c r="K19" s="2" t="s">
        <v>17</v>
      </c>
      <c r="L19" s="19" t="str">
        <f t="shared" si="3"/>
        <v>May</v>
      </c>
      <c r="M19" s="12" t="str">
        <f t="shared" si="0"/>
        <v>Not Rated</v>
      </c>
      <c r="N19" s="12" t="str">
        <f t="shared" si="4"/>
        <v>Not Rated</v>
      </c>
      <c r="O19" s="2" t="str">
        <f t="shared" si="1"/>
        <v>More than 2 days</v>
      </c>
      <c r="P19" s="2" t="str">
        <f t="shared" si="2"/>
        <v>SLA met</v>
      </c>
    </row>
    <row r="20" spans="1:16" ht="14.5" x14ac:dyDescent="0.35">
      <c r="A20" s="2" t="s">
        <v>71</v>
      </c>
      <c r="B20" s="4" t="s">
        <v>72</v>
      </c>
      <c r="C20" s="2" t="s">
        <v>24</v>
      </c>
      <c r="D20" s="2" t="s">
        <v>14</v>
      </c>
      <c r="E20" s="2" t="s">
        <v>15</v>
      </c>
      <c r="F20" s="2">
        <v>3.1</v>
      </c>
      <c r="G20" s="2" t="s">
        <v>16</v>
      </c>
      <c r="H20" s="9">
        <v>7.6</v>
      </c>
      <c r="I20" s="9">
        <v>2.9</v>
      </c>
      <c r="J20" s="2"/>
      <c r="K20" s="2" t="s">
        <v>17</v>
      </c>
      <c r="L20" s="19" t="str">
        <f t="shared" si="3"/>
        <v>May</v>
      </c>
      <c r="M20" s="12" t="str">
        <f t="shared" si="0"/>
        <v>Not Rated</v>
      </c>
      <c r="N20" s="12" t="str">
        <f t="shared" si="4"/>
        <v>Not Rated</v>
      </c>
      <c r="O20" s="2" t="str">
        <f t="shared" si="1"/>
        <v>1 Day</v>
      </c>
      <c r="P20" s="2" t="str">
        <f t="shared" si="2"/>
        <v>Failed to meet SLA</v>
      </c>
    </row>
    <row r="21" spans="1:16" ht="15.75" customHeight="1" x14ac:dyDescent="0.35">
      <c r="A21" s="2" t="s">
        <v>73</v>
      </c>
      <c r="B21" s="4" t="s">
        <v>74</v>
      </c>
      <c r="C21" s="2" t="s">
        <v>13</v>
      </c>
      <c r="D21" s="2" t="s">
        <v>75</v>
      </c>
      <c r="E21" s="2" t="s">
        <v>76</v>
      </c>
      <c r="F21" s="2">
        <v>3.1</v>
      </c>
      <c r="G21" s="2" t="s">
        <v>16</v>
      </c>
      <c r="H21" s="9">
        <v>1.5</v>
      </c>
      <c r="I21" s="9">
        <v>3.5</v>
      </c>
      <c r="J21" s="2"/>
      <c r="K21" s="2" t="s">
        <v>17</v>
      </c>
      <c r="L21" s="19" t="str">
        <f t="shared" si="3"/>
        <v>May</v>
      </c>
      <c r="M21" s="12" t="str">
        <f t="shared" si="0"/>
        <v>Not Rated</v>
      </c>
      <c r="N21" s="12" t="str">
        <f t="shared" si="4"/>
        <v>Not Rated</v>
      </c>
      <c r="O21" s="2" t="str">
        <f t="shared" si="1"/>
        <v>1 Day</v>
      </c>
      <c r="P21" s="2" t="str">
        <f t="shared" si="2"/>
        <v>SLA met</v>
      </c>
    </row>
    <row r="22" spans="1:16" ht="15.75" customHeight="1" x14ac:dyDescent="0.35">
      <c r="A22" s="2" t="s">
        <v>77</v>
      </c>
      <c r="B22" s="4" t="s">
        <v>78</v>
      </c>
      <c r="C22" s="2" t="s">
        <v>13</v>
      </c>
      <c r="D22" s="2" t="s">
        <v>33</v>
      </c>
      <c r="E22" s="2" t="s">
        <v>34</v>
      </c>
      <c r="F22" s="2">
        <v>3.1</v>
      </c>
      <c r="G22" s="2" t="s">
        <v>16</v>
      </c>
      <c r="H22" s="9">
        <v>2.2000000000000002</v>
      </c>
      <c r="I22" s="9">
        <v>13.2</v>
      </c>
      <c r="J22" s="2"/>
      <c r="K22" s="2" t="s">
        <v>17</v>
      </c>
      <c r="L22" s="19" t="str">
        <f t="shared" si="3"/>
        <v>June</v>
      </c>
      <c r="M22" s="12" t="str">
        <f t="shared" si="0"/>
        <v>Not Rated</v>
      </c>
      <c r="N22" s="12" t="str">
        <f t="shared" si="4"/>
        <v>Not Rated</v>
      </c>
      <c r="O22" s="2" t="str">
        <f t="shared" si="1"/>
        <v>1 Day</v>
      </c>
      <c r="P22" s="2" t="str">
        <f t="shared" si="2"/>
        <v>SLA met</v>
      </c>
    </row>
    <row r="23" spans="1:16" ht="15.75" customHeight="1" x14ac:dyDescent="0.35">
      <c r="A23" s="2" t="s">
        <v>79</v>
      </c>
      <c r="B23" s="4" t="s">
        <v>80</v>
      </c>
      <c r="C23" s="2" t="s">
        <v>24</v>
      </c>
      <c r="D23" s="2" t="s">
        <v>14</v>
      </c>
      <c r="E23" s="2" t="s">
        <v>81</v>
      </c>
      <c r="F23" s="2">
        <v>3.1</v>
      </c>
      <c r="G23" s="2" t="s">
        <v>30</v>
      </c>
      <c r="H23" s="9">
        <v>12.5</v>
      </c>
      <c r="I23" s="9">
        <v>29.2</v>
      </c>
      <c r="J23" s="2">
        <v>5</v>
      </c>
      <c r="K23" s="2" t="s">
        <v>17</v>
      </c>
      <c r="L23" s="19" t="str">
        <f t="shared" si="3"/>
        <v>June</v>
      </c>
      <c r="M23" s="12" t="str">
        <f t="shared" si="0"/>
        <v>Rated</v>
      </c>
      <c r="N23" s="12" t="str">
        <f t="shared" si="4"/>
        <v>Satisfied</v>
      </c>
      <c r="O23" s="2" t="str">
        <f t="shared" si="1"/>
        <v>2 Days</v>
      </c>
      <c r="P23" s="2" t="str">
        <f t="shared" si="2"/>
        <v>Failed to meet SLA</v>
      </c>
    </row>
    <row r="24" spans="1:16" ht="15.75" customHeight="1" x14ac:dyDescent="0.35">
      <c r="A24" s="2" t="s">
        <v>82</v>
      </c>
      <c r="B24" s="4" t="s">
        <v>83</v>
      </c>
      <c r="C24" s="2" t="s">
        <v>24</v>
      </c>
      <c r="D24" s="2" t="s">
        <v>33</v>
      </c>
      <c r="E24" s="2" t="s">
        <v>84</v>
      </c>
      <c r="F24" s="2">
        <v>3.1</v>
      </c>
      <c r="G24" s="2" t="s">
        <v>30</v>
      </c>
      <c r="H24" s="9">
        <v>6</v>
      </c>
      <c r="I24" s="9">
        <v>24.2</v>
      </c>
      <c r="J24" s="2">
        <v>3</v>
      </c>
      <c r="K24" s="2" t="s">
        <v>17</v>
      </c>
      <c r="L24" s="19" t="str">
        <f t="shared" si="3"/>
        <v>June</v>
      </c>
      <c r="M24" s="12" t="str">
        <f t="shared" si="0"/>
        <v>Rated</v>
      </c>
      <c r="N24" s="12" t="str">
        <f t="shared" si="4"/>
        <v>Neutral</v>
      </c>
      <c r="O24" s="2" t="str">
        <f t="shared" si="1"/>
        <v>2 Days</v>
      </c>
      <c r="P24" s="2" t="str">
        <f t="shared" si="2"/>
        <v>SLA met</v>
      </c>
    </row>
    <row r="25" spans="1:16" ht="15.75" customHeight="1" x14ac:dyDescent="0.35">
      <c r="A25" s="2" t="s">
        <v>85</v>
      </c>
      <c r="B25" s="4" t="s">
        <v>86</v>
      </c>
      <c r="C25" s="2" t="s">
        <v>13</v>
      </c>
      <c r="D25" s="2" t="s">
        <v>28</v>
      </c>
      <c r="E25" s="2" t="s">
        <v>87</v>
      </c>
      <c r="F25" s="2">
        <v>3.1</v>
      </c>
      <c r="G25" s="2" t="s">
        <v>16</v>
      </c>
      <c r="H25" s="9">
        <v>1</v>
      </c>
      <c r="I25" s="9">
        <v>16.899999999999999</v>
      </c>
      <c r="J25" s="2">
        <v>4</v>
      </c>
      <c r="K25" s="2" t="s">
        <v>17</v>
      </c>
      <c r="L25" s="19" t="str">
        <f t="shared" si="3"/>
        <v>June</v>
      </c>
      <c r="M25" s="12" t="str">
        <f t="shared" si="0"/>
        <v>Rated</v>
      </c>
      <c r="N25" s="12" t="str">
        <f t="shared" si="4"/>
        <v>Satisfied</v>
      </c>
      <c r="O25" s="2" t="str">
        <f t="shared" si="1"/>
        <v>1 Day</v>
      </c>
      <c r="P25" s="2" t="str">
        <f t="shared" si="2"/>
        <v>SLA met</v>
      </c>
    </row>
    <row r="26" spans="1:16" ht="15.75" customHeight="1" x14ac:dyDescent="0.35">
      <c r="A26" s="2" t="s">
        <v>88</v>
      </c>
      <c r="B26" s="4" t="s">
        <v>89</v>
      </c>
      <c r="C26" s="2" t="s">
        <v>24</v>
      </c>
      <c r="D26" s="2" t="s">
        <v>52</v>
      </c>
      <c r="E26" s="2" t="s">
        <v>90</v>
      </c>
      <c r="F26" s="2">
        <v>3.1</v>
      </c>
      <c r="G26" s="2" t="s">
        <v>16</v>
      </c>
      <c r="H26" s="9">
        <v>12.3</v>
      </c>
      <c r="I26" s="9">
        <v>38.200000000000003</v>
      </c>
      <c r="J26" s="2"/>
      <c r="K26" s="2" t="s">
        <v>17</v>
      </c>
      <c r="L26" s="19" t="str">
        <f t="shared" si="3"/>
        <v>June</v>
      </c>
      <c r="M26" s="12" t="str">
        <f t="shared" si="0"/>
        <v>Not Rated</v>
      </c>
      <c r="N26" s="12" t="str">
        <f t="shared" si="4"/>
        <v>Not Rated</v>
      </c>
      <c r="O26" s="2" t="str">
        <f t="shared" si="1"/>
        <v>2 Days</v>
      </c>
      <c r="P26" s="2" t="str">
        <f t="shared" si="2"/>
        <v>Failed to meet SLA</v>
      </c>
    </row>
    <row r="27" spans="1:16" ht="15.75" customHeight="1" x14ac:dyDescent="0.35">
      <c r="A27" s="2" t="s">
        <v>91</v>
      </c>
      <c r="B27" s="4" t="s">
        <v>92</v>
      </c>
      <c r="C27" s="2" t="s">
        <v>24</v>
      </c>
      <c r="D27" s="2" t="s">
        <v>28</v>
      </c>
      <c r="E27" s="2" t="s">
        <v>29</v>
      </c>
      <c r="F27" s="2">
        <v>3.1</v>
      </c>
      <c r="G27" s="2" t="s">
        <v>16</v>
      </c>
      <c r="H27" s="9">
        <v>13.6</v>
      </c>
      <c r="I27" s="9">
        <v>3.6</v>
      </c>
      <c r="J27" s="2"/>
      <c r="K27" s="2" t="s">
        <v>17</v>
      </c>
      <c r="L27" s="19" t="str">
        <f t="shared" si="3"/>
        <v>June</v>
      </c>
      <c r="M27" s="12" t="str">
        <f t="shared" si="0"/>
        <v>Not Rated</v>
      </c>
      <c r="N27" s="12" t="str">
        <f t="shared" si="4"/>
        <v>Not Rated</v>
      </c>
      <c r="O27" s="2" t="str">
        <f t="shared" si="1"/>
        <v>1 Day</v>
      </c>
      <c r="P27" s="2" t="str">
        <f t="shared" si="2"/>
        <v>Failed to meet SLA</v>
      </c>
    </row>
    <row r="28" spans="1:16" ht="15.75" customHeight="1" x14ac:dyDescent="0.35">
      <c r="A28" s="2" t="s">
        <v>93</v>
      </c>
      <c r="B28" s="4" t="s">
        <v>94</v>
      </c>
      <c r="C28" s="2" t="s">
        <v>24</v>
      </c>
      <c r="D28" s="2" t="s">
        <v>28</v>
      </c>
      <c r="E28" s="2" t="s">
        <v>95</v>
      </c>
      <c r="F28" s="2">
        <v>3.1</v>
      </c>
      <c r="G28" s="2" t="s">
        <v>30</v>
      </c>
      <c r="H28" s="9">
        <v>11.6</v>
      </c>
      <c r="I28" s="9">
        <v>17.600000000000001</v>
      </c>
      <c r="J28" s="2">
        <v>4</v>
      </c>
      <c r="K28" s="2" t="s">
        <v>17</v>
      </c>
      <c r="L28" s="19" t="str">
        <f t="shared" si="3"/>
        <v>June</v>
      </c>
      <c r="M28" s="12" t="str">
        <f t="shared" si="0"/>
        <v>Rated</v>
      </c>
      <c r="N28" s="12" t="str">
        <f t="shared" si="4"/>
        <v>Satisfied</v>
      </c>
      <c r="O28" s="2" t="str">
        <f t="shared" si="1"/>
        <v>1 Day</v>
      </c>
      <c r="P28" s="2" t="str">
        <f t="shared" si="2"/>
        <v>Failed to meet SLA</v>
      </c>
    </row>
    <row r="29" spans="1:16" ht="15.75" customHeight="1" x14ac:dyDescent="0.35">
      <c r="A29" s="2" t="s">
        <v>96</v>
      </c>
      <c r="B29" s="4" t="s">
        <v>97</v>
      </c>
      <c r="C29" s="2" t="s">
        <v>13</v>
      </c>
      <c r="D29" s="2" t="s">
        <v>14</v>
      </c>
      <c r="E29" s="2" t="s">
        <v>25</v>
      </c>
      <c r="F29" s="2">
        <v>3.1</v>
      </c>
      <c r="G29" s="2" t="s">
        <v>30</v>
      </c>
      <c r="H29" s="9">
        <v>0.4</v>
      </c>
      <c r="I29" s="9">
        <v>4.0999999999999996</v>
      </c>
      <c r="J29" s="2"/>
      <c r="K29" s="2" t="s">
        <v>17</v>
      </c>
      <c r="L29" s="19" t="str">
        <f t="shared" si="3"/>
        <v>June</v>
      </c>
      <c r="M29" s="12" t="str">
        <f t="shared" si="0"/>
        <v>Not Rated</v>
      </c>
      <c r="N29" s="12" t="str">
        <f t="shared" si="4"/>
        <v>Not Rated</v>
      </c>
      <c r="O29" s="2" t="str">
        <f t="shared" si="1"/>
        <v>1 Day</v>
      </c>
      <c r="P29" s="2" t="str">
        <f t="shared" si="2"/>
        <v>SLA met</v>
      </c>
    </row>
    <row r="30" spans="1:16" ht="15.75" customHeight="1" x14ac:dyDescent="0.35">
      <c r="A30" s="2" t="s">
        <v>98</v>
      </c>
      <c r="B30" s="4" t="s">
        <v>99</v>
      </c>
      <c r="C30" s="2" t="s">
        <v>24</v>
      </c>
      <c r="D30" s="2" t="s">
        <v>75</v>
      </c>
      <c r="E30" s="2" t="s">
        <v>100</v>
      </c>
      <c r="F30" s="2">
        <v>3.1</v>
      </c>
      <c r="G30" s="2" t="s">
        <v>16</v>
      </c>
      <c r="H30" s="9">
        <v>6.1</v>
      </c>
      <c r="I30" s="9">
        <v>8.6</v>
      </c>
      <c r="J30" s="2"/>
      <c r="K30" s="2" t="s">
        <v>17</v>
      </c>
      <c r="L30" s="19" t="str">
        <f t="shared" si="3"/>
        <v>June</v>
      </c>
      <c r="M30" s="12" t="str">
        <f t="shared" si="0"/>
        <v>Not Rated</v>
      </c>
      <c r="N30" s="12" t="str">
        <f t="shared" si="4"/>
        <v>Not Rated</v>
      </c>
      <c r="O30" s="2" t="str">
        <f t="shared" si="1"/>
        <v>1 Day</v>
      </c>
      <c r="P30" s="2" t="str">
        <f t="shared" si="2"/>
        <v>Failed to meet SLA</v>
      </c>
    </row>
    <row r="31" spans="1:16" ht="15.75" customHeight="1" x14ac:dyDescent="0.35">
      <c r="A31" s="2" t="s">
        <v>101</v>
      </c>
      <c r="B31" s="4" t="s">
        <v>102</v>
      </c>
      <c r="C31" s="2" t="s">
        <v>13</v>
      </c>
      <c r="D31" s="2" t="s">
        <v>41</v>
      </c>
      <c r="E31" s="2" t="s">
        <v>103</v>
      </c>
      <c r="F31" s="2">
        <v>3.1</v>
      </c>
      <c r="G31" s="2" t="s">
        <v>16</v>
      </c>
      <c r="H31" s="9">
        <v>1.7</v>
      </c>
      <c r="I31" s="9">
        <v>26.1</v>
      </c>
      <c r="J31" s="2">
        <v>3</v>
      </c>
      <c r="K31" s="2" t="s">
        <v>17</v>
      </c>
      <c r="L31" s="19" t="str">
        <f t="shared" si="3"/>
        <v>June</v>
      </c>
      <c r="M31" s="12" t="str">
        <f t="shared" si="0"/>
        <v>Rated</v>
      </c>
      <c r="N31" s="12" t="str">
        <f t="shared" si="4"/>
        <v>Neutral</v>
      </c>
      <c r="O31" s="2" t="str">
        <f t="shared" si="1"/>
        <v>2 Days</v>
      </c>
      <c r="P31" s="2" t="str">
        <f t="shared" si="2"/>
        <v>SLA met</v>
      </c>
    </row>
    <row r="32" spans="1:16" ht="15.75" customHeight="1" x14ac:dyDescent="0.35">
      <c r="A32" s="2" t="s">
        <v>104</v>
      </c>
      <c r="B32" s="4" t="s">
        <v>105</v>
      </c>
      <c r="C32" s="2" t="s">
        <v>24</v>
      </c>
      <c r="D32" s="2" t="s">
        <v>14</v>
      </c>
      <c r="E32" s="2" t="s">
        <v>25</v>
      </c>
      <c r="F32" s="2">
        <v>3.1</v>
      </c>
      <c r="G32" s="2" t="s">
        <v>16</v>
      </c>
      <c r="H32" s="9">
        <v>7.6</v>
      </c>
      <c r="I32" s="9">
        <v>18.899999999999999</v>
      </c>
      <c r="J32" s="2">
        <v>3</v>
      </c>
      <c r="K32" s="2" t="s">
        <v>17</v>
      </c>
      <c r="L32" s="19" t="str">
        <f t="shared" si="3"/>
        <v>June</v>
      </c>
      <c r="M32" s="12" t="str">
        <f t="shared" si="0"/>
        <v>Rated</v>
      </c>
      <c r="N32" s="12" t="str">
        <f t="shared" si="4"/>
        <v>Neutral</v>
      </c>
      <c r="O32" s="2" t="str">
        <f t="shared" si="1"/>
        <v>1 Day</v>
      </c>
      <c r="P32" s="2" t="str">
        <f t="shared" si="2"/>
        <v>Failed to meet SLA</v>
      </c>
    </row>
    <row r="33" spans="1:16" ht="15.75" customHeight="1" x14ac:dyDescent="0.35">
      <c r="A33" s="2" t="s">
        <v>106</v>
      </c>
      <c r="B33" s="4" t="s">
        <v>107</v>
      </c>
      <c r="C33" s="2" t="s">
        <v>24</v>
      </c>
      <c r="D33" s="2" t="s">
        <v>14</v>
      </c>
      <c r="E33" s="2" t="s">
        <v>15</v>
      </c>
      <c r="F33" s="2">
        <v>3.1</v>
      </c>
      <c r="G33" s="2" t="s">
        <v>30</v>
      </c>
      <c r="H33" s="9">
        <v>6.2</v>
      </c>
      <c r="I33" s="9">
        <v>3.9</v>
      </c>
      <c r="J33" s="2"/>
      <c r="K33" s="2" t="s">
        <v>17</v>
      </c>
      <c r="L33" s="19" t="str">
        <f t="shared" si="3"/>
        <v>June</v>
      </c>
      <c r="M33" s="12" t="str">
        <f t="shared" si="0"/>
        <v>Not Rated</v>
      </c>
      <c r="N33" s="12" t="str">
        <f t="shared" si="4"/>
        <v>Not Rated</v>
      </c>
      <c r="O33" s="2" t="str">
        <f t="shared" si="1"/>
        <v>1 Day</v>
      </c>
      <c r="P33" s="2" t="str">
        <f t="shared" si="2"/>
        <v>Failed to meet SLA</v>
      </c>
    </row>
    <row r="34" spans="1:16" ht="15.75" customHeight="1" x14ac:dyDescent="0.35">
      <c r="A34" s="2" t="s">
        <v>108</v>
      </c>
      <c r="B34" s="4" t="s">
        <v>109</v>
      </c>
      <c r="C34" s="2" t="s">
        <v>13</v>
      </c>
      <c r="D34" s="2" t="s">
        <v>28</v>
      </c>
      <c r="E34" s="2" t="s">
        <v>87</v>
      </c>
      <c r="F34" s="2">
        <v>3.1</v>
      </c>
      <c r="G34" s="2" t="s">
        <v>16</v>
      </c>
      <c r="H34" s="9">
        <v>0.1</v>
      </c>
      <c r="I34" s="9">
        <v>6.5</v>
      </c>
      <c r="J34" s="2">
        <v>4</v>
      </c>
      <c r="K34" s="2" t="s">
        <v>17</v>
      </c>
      <c r="L34" s="19" t="str">
        <f t="shared" si="3"/>
        <v>June</v>
      </c>
      <c r="M34" s="12" t="str">
        <f t="shared" si="0"/>
        <v>Rated</v>
      </c>
      <c r="N34" s="12" t="str">
        <f t="shared" si="4"/>
        <v>Satisfied</v>
      </c>
      <c r="O34" s="2" t="str">
        <f t="shared" si="1"/>
        <v>1 Day</v>
      </c>
      <c r="P34" s="2" t="str">
        <f t="shared" si="2"/>
        <v>SLA met</v>
      </c>
    </row>
    <row r="35" spans="1:16" ht="15.75" customHeight="1" x14ac:dyDescent="0.35">
      <c r="A35" s="2" t="s">
        <v>110</v>
      </c>
      <c r="B35" s="4" t="s">
        <v>111</v>
      </c>
      <c r="C35" s="2" t="s">
        <v>24</v>
      </c>
      <c r="D35" s="2" t="s">
        <v>75</v>
      </c>
      <c r="E35" s="2" t="s">
        <v>112</v>
      </c>
      <c r="F35" s="2">
        <v>3.1</v>
      </c>
      <c r="G35" s="2" t="s">
        <v>30</v>
      </c>
      <c r="H35" s="9">
        <v>10.199999999999999</v>
      </c>
      <c r="I35" s="9">
        <v>3.2</v>
      </c>
      <c r="J35" s="2"/>
      <c r="K35" s="2" t="s">
        <v>17</v>
      </c>
      <c r="L35" s="19" t="str">
        <f t="shared" si="3"/>
        <v>June</v>
      </c>
      <c r="M35" s="12" t="str">
        <f t="shared" si="0"/>
        <v>Not Rated</v>
      </c>
      <c r="N35" s="12" t="str">
        <f t="shared" si="4"/>
        <v>Not Rated</v>
      </c>
      <c r="O35" s="2" t="str">
        <f t="shared" si="1"/>
        <v>1 Day</v>
      </c>
      <c r="P35" s="2" t="str">
        <f t="shared" si="2"/>
        <v>Failed to meet SLA</v>
      </c>
    </row>
    <row r="36" spans="1:16" ht="15.75" customHeight="1" x14ac:dyDescent="0.35">
      <c r="A36" s="2" t="s">
        <v>113</v>
      </c>
      <c r="B36" s="4" t="s">
        <v>114</v>
      </c>
      <c r="C36" s="2" t="s">
        <v>24</v>
      </c>
      <c r="D36" s="2" t="s">
        <v>28</v>
      </c>
      <c r="E36" s="2" t="s">
        <v>59</v>
      </c>
      <c r="F36" s="2">
        <v>3.1</v>
      </c>
      <c r="G36" s="2" t="s">
        <v>30</v>
      </c>
      <c r="H36" s="9">
        <v>6.2</v>
      </c>
      <c r="I36" s="9">
        <v>19.399999999999999</v>
      </c>
      <c r="J36" s="2"/>
      <c r="K36" s="2" t="s">
        <v>17</v>
      </c>
      <c r="L36" s="19" t="str">
        <f t="shared" si="3"/>
        <v>June</v>
      </c>
      <c r="M36" s="12" t="str">
        <f t="shared" si="0"/>
        <v>Not Rated</v>
      </c>
      <c r="N36" s="12" t="str">
        <f t="shared" si="4"/>
        <v>Not Rated</v>
      </c>
      <c r="O36" s="2" t="str">
        <f t="shared" si="1"/>
        <v>1 Day</v>
      </c>
      <c r="P36" s="2" t="str">
        <f t="shared" si="2"/>
        <v>Failed to meet SLA</v>
      </c>
    </row>
    <row r="37" spans="1:16" ht="15.75" customHeight="1" x14ac:dyDescent="0.35">
      <c r="A37" s="2" t="s">
        <v>115</v>
      </c>
      <c r="B37" s="4" t="s">
        <v>116</v>
      </c>
      <c r="C37" s="2" t="s">
        <v>13</v>
      </c>
      <c r="D37" s="2" t="s">
        <v>41</v>
      </c>
      <c r="E37" s="2" t="s">
        <v>103</v>
      </c>
      <c r="F37" s="2">
        <v>3.1</v>
      </c>
      <c r="G37" s="2" t="s">
        <v>30</v>
      </c>
      <c r="H37" s="9">
        <v>2.1</v>
      </c>
      <c r="I37" s="9">
        <v>53.5</v>
      </c>
      <c r="J37" s="2"/>
      <c r="K37" s="2" t="s">
        <v>17</v>
      </c>
      <c r="L37" s="19" t="str">
        <f t="shared" si="3"/>
        <v>June</v>
      </c>
      <c r="M37" s="12" t="str">
        <f t="shared" si="0"/>
        <v>Not Rated</v>
      </c>
      <c r="N37" s="12" t="str">
        <f t="shared" si="4"/>
        <v>Not Rated</v>
      </c>
      <c r="O37" s="2" t="str">
        <f t="shared" si="1"/>
        <v>More than 2 days</v>
      </c>
      <c r="P37" s="2" t="str">
        <f t="shared" si="2"/>
        <v>SLA met</v>
      </c>
    </row>
    <row r="38" spans="1:16" ht="15.75" customHeight="1" x14ac:dyDescent="0.35">
      <c r="A38" s="2" t="s">
        <v>117</v>
      </c>
      <c r="B38" s="4" t="s">
        <v>118</v>
      </c>
      <c r="C38" s="2" t="s">
        <v>24</v>
      </c>
      <c r="D38" s="2" t="s">
        <v>33</v>
      </c>
      <c r="E38" s="2" t="s">
        <v>119</v>
      </c>
      <c r="F38" s="2">
        <v>3.1</v>
      </c>
      <c r="G38" s="2" t="s">
        <v>16</v>
      </c>
      <c r="H38" s="9">
        <v>2</v>
      </c>
      <c r="I38" s="9">
        <v>17.399999999999999</v>
      </c>
      <c r="J38" s="2">
        <v>3</v>
      </c>
      <c r="K38" s="2" t="s">
        <v>17</v>
      </c>
      <c r="L38" s="19" t="str">
        <f t="shared" si="3"/>
        <v>June</v>
      </c>
      <c r="M38" s="12" t="str">
        <f t="shared" si="0"/>
        <v>Rated</v>
      </c>
      <c r="N38" s="12" t="str">
        <f t="shared" si="4"/>
        <v>Neutral</v>
      </c>
      <c r="O38" s="2" t="str">
        <f t="shared" si="1"/>
        <v>1 Day</v>
      </c>
      <c r="P38" s="2" t="str">
        <f t="shared" si="2"/>
        <v>SLA met</v>
      </c>
    </row>
    <row r="39" spans="1:16" ht="15.75" customHeight="1" x14ac:dyDescent="0.35">
      <c r="A39" s="2" t="s">
        <v>120</v>
      </c>
      <c r="B39" s="4" t="s">
        <v>121</v>
      </c>
      <c r="C39" s="2" t="s">
        <v>13</v>
      </c>
      <c r="D39" s="2" t="s">
        <v>52</v>
      </c>
      <c r="E39" s="2" t="s">
        <v>90</v>
      </c>
      <c r="F39" s="2">
        <v>3.1</v>
      </c>
      <c r="G39" s="2" t="s">
        <v>16</v>
      </c>
      <c r="H39" s="9">
        <v>2.5</v>
      </c>
      <c r="I39" s="9">
        <v>30.8</v>
      </c>
      <c r="J39" s="2"/>
      <c r="K39" s="2" t="s">
        <v>17</v>
      </c>
      <c r="L39" s="19" t="str">
        <f t="shared" si="3"/>
        <v>June</v>
      </c>
      <c r="M39" s="12" t="str">
        <f t="shared" si="0"/>
        <v>Not Rated</v>
      </c>
      <c r="N39" s="12" t="str">
        <f t="shared" si="4"/>
        <v>Not Rated</v>
      </c>
      <c r="O39" s="2" t="str">
        <f t="shared" si="1"/>
        <v>2 Days</v>
      </c>
      <c r="P39" s="2" t="str">
        <f t="shared" si="2"/>
        <v>SLA met</v>
      </c>
    </row>
    <row r="40" spans="1:16" ht="15.75" customHeight="1" x14ac:dyDescent="0.35">
      <c r="A40" s="2" t="s">
        <v>122</v>
      </c>
      <c r="B40" s="4" t="s">
        <v>123</v>
      </c>
      <c r="C40" s="2" t="s">
        <v>24</v>
      </c>
      <c r="D40" s="2" t="s">
        <v>45</v>
      </c>
      <c r="E40" s="2" t="s">
        <v>124</v>
      </c>
      <c r="F40" s="2">
        <v>3.1</v>
      </c>
      <c r="G40" s="2" t="s">
        <v>16</v>
      </c>
      <c r="H40" s="9">
        <v>7.2</v>
      </c>
      <c r="I40" s="9">
        <v>34.299999999999997</v>
      </c>
      <c r="J40" s="2">
        <v>4</v>
      </c>
      <c r="K40" s="2" t="s">
        <v>17</v>
      </c>
      <c r="L40" s="19" t="str">
        <f t="shared" si="3"/>
        <v>June</v>
      </c>
      <c r="M40" s="12" t="str">
        <f t="shared" si="0"/>
        <v>Rated</v>
      </c>
      <c r="N40" s="12" t="str">
        <f t="shared" si="4"/>
        <v>Satisfied</v>
      </c>
      <c r="O40" s="2" t="str">
        <f t="shared" si="1"/>
        <v>2 Days</v>
      </c>
      <c r="P40" s="2" t="str">
        <f t="shared" si="2"/>
        <v>Failed to meet SLA</v>
      </c>
    </row>
    <row r="41" spans="1:16" ht="15.75" customHeight="1" x14ac:dyDescent="0.35">
      <c r="A41" s="2" t="s">
        <v>125</v>
      </c>
      <c r="B41" s="4" t="s">
        <v>126</v>
      </c>
      <c r="C41" s="2" t="s">
        <v>13</v>
      </c>
      <c r="D41" s="2" t="s">
        <v>33</v>
      </c>
      <c r="E41" s="2" t="s">
        <v>127</v>
      </c>
      <c r="F41" s="2">
        <v>3.1</v>
      </c>
      <c r="G41" s="2" t="s">
        <v>16</v>
      </c>
      <c r="H41" s="9">
        <v>2.4</v>
      </c>
      <c r="I41" s="9">
        <v>29.3</v>
      </c>
      <c r="J41" s="2">
        <v>3</v>
      </c>
      <c r="K41" s="2" t="s">
        <v>17</v>
      </c>
      <c r="L41" s="19" t="str">
        <f t="shared" si="3"/>
        <v>June</v>
      </c>
      <c r="M41" s="12" t="str">
        <f t="shared" si="0"/>
        <v>Rated</v>
      </c>
      <c r="N41" s="12" t="str">
        <f t="shared" si="4"/>
        <v>Neutral</v>
      </c>
      <c r="O41" s="2" t="str">
        <f t="shared" si="1"/>
        <v>2 Days</v>
      </c>
      <c r="P41" s="2" t="str">
        <f t="shared" si="2"/>
        <v>SLA met</v>
      </c>
    </row>
    <row r="42" spans="1:16" ht="15.75" customHeight="1" x14ac:dyDescent="0.35">
      <c r="A42" s="2" t="s">
        <v>128</v>
      </c>
      <c r="B42" s="4" t="s">
        <v>129</v>
      </c>
      <c r="C42" s="2" t="s">
        <v>13</v>
      </c>
      <c r="D42" s="2" t="s">
        <v>14</v>
      </c>
      <c r="E42" s="2" t="s">
        <v>81</v>
      </c>
      <c r="F42" s="2">
        <v>3.1</v>
      </c>
      <c r="G42" s="2" t="s">
        <v>16</v>
      </c>
      <c r="H42" s="9">
        <v>2.5</v>
      </c>
      <c r="I42" s="9">
        <v>10</v>
      </c>
      <c r="J42" s="2">
        <v>5</v>
      </c>
      <c r="K42" s="2" t="s">
        <v>17</v>
      </c>
      <c r="L42" s="19" t="str">
        <f t="shared" si="3"/>
        <v>June</v>
      </c>
      <c r="M42" s="12" t="str">
        <f t="shared" si="0"/>
        <v>Rated</v>
      </c>
      <c r="N42" s="12" t="str">
        <f t="shared" si="4"/>
        <v>Satisfied</v>
      </c>
      <c r="O42" s="2" t="str">
        <f t="shared" si="1"/>
        <v>1 Day</v>
      </c>
      <c r="P42" s="2" t="str">
        <f t="shared" si="2"/>
        <v>SLA met</v>
      </c>
    </row>
    <row r="43" spans="1:16" ht="15.75" customHeight="1" x14ac:dyDescent="0.35">
      <c r="A43" s="2" t="s">
        <v>130</v>
      </c>
      <c r="B43" s="4" t="s">
        <v>131</v>
      </c>
      <c r="C43" s="2" t="s">
        <v>13</v>
      </c>
      <c r="D43" s="2" t="s">
        <v>33</v>
      </c>
      <c r="E43" s="2" t="s">
        <v>119</v>
      </c>
      <c r="F43" s="2">
        <v>3.1</v>
      </c>
      <c r="G43" s="2" t="s">
        <v>30</v>
      </c>
      <c r="H43" s="9">
        <v>0.9</v>
      </c>
      <c r="I43" s="9">
        <v>19.8</v>
      </c>
      <c r="J43" s="2">
        <v>3</v>
      </c>
      <c r="K43" s="2" t="s">
        <v>17</v>
      </c>
      <c r="L43" s="19" t="str">
        <f t="shared" si="3"/>
        <v>June</v>
      </c>
      <c r="M43" s="12" t="str">
        <f t="shared" si="0"/>
        <v>Rated</v>
      </c>
      <c r="N43" s="12" t="str">
        <f t="shared" si="4"/>
        <v>Neutral</v>
      </c>
      <c r="O43" s="2" t="str">
        <f t="shared" si="1"/>
        <v>1 Day</v>
      </c>
      <c r="P43" s="2" t="str">
        <f t="shared" si="2"/>
        <v>SLA met</v>
      </c>
    </row>
    <row r="44" spans="1:16" ht="15.75" customHeight="1" x14ac:dyDescent="0.35">
      <c r="A44" s="2" t="s">
        <v>132</v>
      </c>
      <c r="B44" s="4" t="s">
        <v>133</v>
      </c>
      <c r="C44" s="2" t="s">
        <v>13</v>
      </c>
      <c r="D44" s="2" t="s">
        <v>33</v>
      </c>
      <c r="E44" s="2" t="s">
        <v>127</v>
      </c>
      <c r="F44" s="2">
        <v>3.1</v>
      </c>
      <c r="G44" s="2" t="s">
        <v>30</v>
      </c>
      <c r="H44" s="9">
        <v>1.7</v>
      </c>
      <c r="I44" s="9">
        <v>27.2</v>
      </c>
      <c r="J44" s="2"/>
      <c r="K44" s="2" t="s">
        <v>17</v>
      </c>
      <c r="L44" s="19" t="str">
        <f t="shared" si="3"/>
        <v>June</v>
      </c>
      <c r="M44" s="12" t="str">
        <f t="shared" si="0"/>
        <v>Not Rated</v>
      </c>
      <c r="N44" s="12" t="str">
        <f t="shared" si="4"/>
        <v>Not Rated</v>
      </c>
      <c r="O44" s="2" t="str">
        <f t="shared" si="1"/>
        <v>2 Days</v>
      </c>
      <c r="P44" s="2" t="str">
        <f t="shared" si="2"/>
        <v>SLA met</v>
      </c>
    </row>
    <row r="45" spans="1:16" ht="15.75" customHeight="1" x14ac:dyDescent="0.35">
      <c r="A45" s="2" t="s">
        <v>134</v>
      </c>
      <c r="B45" s="4" t="s">
        <v>135</v>
      </c>
      <c r="C45" s="2" t="s">
        <v>13</v>
      </c>
      <c r="D45" s="2" t="s">
        <v>14</v>
      </c>
      <c r="E45" s="2" t="s">
        <v>25</v>
      </c>
      <c r="F45" s="2">
        <v>3.1</v>
      </c>
      <c r="G45" s="2" t="s">
        <v>30</v>
      </c>
      <c r="H45" s="9">
        <v>0.6</v>
      </c>
      <c r="I45" s="9">
        <v>13.7</v>
      </c>
      <c r="J45" s="2">
        <v>3</v>
      </c>
      <c r="K45" s="2" t="s">
        <v>17</v>
      </c>
      <c r="L45" s="19" t="str">
        <f t="shared" si="3"/>
        <v>June</v>
      </c>
      <c r="M45" s="12" t="str">
        <f t="shared" si="0"/>
        <v>Rated</v>
      </c>
      <c r="N45" s="12" t="str">
        <f t="shared" si="4"/>
        <v>Neutral</v>
      </c>
      <c r="O45" s="2" t="str">
        <f t="shared" si="1"/>
        <v>1 Day</v>
      </c>
      <c r="P45" s="2" t="str">
        <f t="shared" si="2"/>
        <v>SLA met</v>
      </c>
    </row>
    <row r="46" spans="1:16" ht="15.75" customHeight="1" x14ac:dyDescent="0.35">
      <c r="A46" s="2" t="s">
        <v>136</v>
      </c>
      <c r="B46" s="4" t="s">
        <v>137</v>
      </c>
      <c r="C46" s="2" t="s">
        <v>13</v>
      </c>
      <c r="D46" s="2" t="s">
        <v>20</v>
      </c>
      <c r="E46" s="2" t="s">
        <v>138</v>
      </c>
      <c r="F46" s="2">
        <v>3.1</v>
      </c>
      <c r="G46" s="2" t="s">
        <v>16</v>
      </c>
      <c r="H46" s="9">
        <v>1.5</v>
      </c>
      <c r="I46" s="9">
        <v>3.1</v>
      </c>
      <c r="J46" s="2">
        <v>3</v>
      </c>
      <c r="K46" s="2" t="s">
        <v>17</v>
      </c>
      <c r="L46" s="19" t="str">
        <f t="shared" si="3"/>
        <v>June</v>
      </c>
      <c r="M46" s="12" t="str">
        <f t="shared" si="0"/>
        <v>Rated</v>
      </c>
      <c r="N46" s="12" t="str">
        <f t="shared" si="4"/>
        <v>Neutral</v>
      </c>
      <c r="O46" s="2" t="str">
        <f t="shared" si="1"/>
        <v>1 Day</v>
      </c>
      <c r="P46" s="2" t="str">
        <f t="shared" si="2"/>
        <v>SLA met</v>
      </c>
    </row>
    <row r="47" spans="1:16" ht="15.75" customHeight="1" x14ac:dyDescent="0.35">
      <c r="A47" s="2" t="s">
        <v>139</v>
      </c>
      <c r="B47" s="4" t="s">
        <v>140</v>
      </c>
      <c r="C47" s="2" t="s">
        <v>13</v>
      </c>
      <c r="D47" s="2" t="s">
        <v>20</v>
      </c>
      <c r="E47" s="2" t="s">
        <v>138</v>
      </c>
      <c r="F47" s="2">
        <v>3.1</v>
      </c>
      <c r="G47" s="2" t="s">
        <v>30</v>
      </c>
      <c r="H47" s="9">
        <v>1.2</v>
      </c>
      <c r="I47" s="9">
        <v>15.7</v>
      </c>
      <c r="J47" s="2"/>
      <c r="K47" s="2" t="s">
        <v>17</v>
      </c>
      <c r="L47" s="19" t="str">
        <f t="shared" si="3"/>
        <v>June</v>
      </c>
      <c r="M47" s="12" t="str">
        <f t="shared" si="0"/>
        <v>Not Rated</v>
      </c>
      <c r="N47" s="12" t="str">
        <f t="shared" si="4"/>
        <v>Not Rated</v>
      </c>
      <c r="O47" s="2" t="str">
        <f t="shared" si="1"/>
        <v>1 Day</v>
      </c>
      <c r="P47" s="2" t="str">
        <f t="shared" si="2"/>
        <v>SLA met</v>
      </c>
    </row>
    <row r="48" spans="1:16" ht="15.75" customHeight="1" x14ac:dyDescent="0.35">
      <c r="A48" s="2" t="s">
        <v>141</v>
      </c>
      <c r="B48" s="4" t="s">
        <v>142</v>
      </c>
      <c r="C48" s="2" t="s">
        <v>24</v>
      </c>
      <c r="D48" s="2" t="s">
        <v>14</v>
      </c>
      <c r="E48" s="2" t="s">
        <v>25</v>
      </c>
      <c r="F48" s="2">
        <v>3.1</v>
      </c>
      <c r="G48" s="2" t="s">
        <v>30</v>
      </c>
      <c r="H48" s="9">
        <v>13.1</v>
      </c>
      <c r="I48" s="9">
        <v>20.8</v>
      </c>
      <c r="J48" s="2"/>
      <c r="K48" s="2" t="s">
        <v>17</v>
      </c>
      <c r="L48" s="19" t="str">
        <f t="shared" si="3"/>
        <v>June</v>
      </c>
      <c r="M48" s="12" t="str">
        <f t="shared" si="0"/>
        <v>Not Rated</v>
      </c>
      <c r="N48" s="12" t="str">
        <f t="shared" si="4"/>
        <v>Not Rated</v>
      </c>
      <c r="O48" s="2" t="str">
        <f t="shared" si="1"/>
        <v>1 Day</v>
      </c>
      <c r="P48" s="2" t="str">
        <f t="shared" si="2"/>
        <v>Failed to meet SLA</v>
      </c>
    </row>
    <row r="49" spans="1:16" ht="15.75" customHeight="1" x14ac:dyDescent="0.35">
      <c r="A49" s="2" t="s">
        <v>143</v>
      </c>
      <c r="B49" s="4" t="s">
        <v>144</v>
      </c>
      <c r="C49" s="2" t="s">
        <v>24</v>
      </c>
      <c r="D49" s="2" t="s">
        <v>41</v>
      </c>
      <c r="E49" s="2" t="s">
        <v>103</v>
      </c>
      <c r="F49" s="2">
        <v>3.1</v>
      </c>
      <c r="G49" s="2" t="s">
        <v>16</v>
      </c>
      <c r="H49" s="9">
        <v>5.0999999999999996</v>
      </c>
      <c r="I49" s="9">
        <v>27.4</v>
      </c>
      <c r="J49" s="2">
        <v>2</v>
      </c>
      <c r="K49" s="2" t="s">
        <v>17</v>
      </c>
      <c r="L49" s="19" t="str">
        <f t="shared" si="3"/>
        <v>June</v>
      </c>
      <c r="M49" s="12" t="str">
        <f t="shared" si="0"/>
        <v>Rated</v>
      </c>
      <c r="N49" s="12" t="str">
        <f t="shared" si="4"/>
        <v>Dissatisfied</v>
      </c>
      <c r="O49" s="2" t="str">
        <f t="shared" si="1"/>
        <v>2 Days</v>
      </c>
      <c r="P49" s="2" t="str">
        <f t="shared" si="2"/>
        <v>SLA met</v>
      </c>
    </row>
    <row r="50" spans="1:16" ht="15.75" customHeight="1" x14ac:dyDescent="0.35">
      <c r="A50" s="2" t="s">
        <v>145</v>
      </c>
      <c r="B50" s="4" t="s">
        <v>146</v>
      </c>
      <c r="C50" s="2" t="s">
        <v>24</v>
      </c>
      <c r="D50" s="2" t="s">
        <v>33</v>
      </c>
      <c r="E50" s="2" t="s">
        <v>127</v>
      </c>
      <c r="F50" s="2">
        <v>3.1</v>
      </c>
      <c r="G50" s="2" t="s">
        <v>16</v>
      </c>
      <c r="H50" s="9">
        <v>1.5</v>
      </c>
      <c r="I50" s="9">
        <v>18.3</v>
      </c>
      <c r="J50" s="2"/>
      <c r="K50" s="2" t="s">
        <v>17</v>
      </c>
      <c r="L50" s="19" t="str">
        <f t="shared" si="3"/>
        <v>June</v>
      </c>
      <c r="M50" s="12" t="str">
        <f t="shared" si="0"/>
        <v>Not Rated</v>
      </c>
      <c r="N50" s="12" t="str">
        <f t="shared" si="4"/>
        <v>Not Rated</v>
      </c>
      <c r="O50" s="2" t="str">
        <f t="shared" si="1"/>
        <v>1 Day</v>
      </c>
      <c r="P50" s="2" t="str">
        <f t="shared" si="2"/>
        <v>SLA met</v>
      </c>
    </row>
    <row r="51" spans="1:16" ht="15.75" customHeight="1" x14ac:dyDescent="0.35">
      <c r="A51" s="2" t="s">
        <v>147</v>
      </c>
      <c r="B51" s="4" t="s">
        <v>148</v>
      </c>
      <c r="C51" s="2" t="s">
        <v>24</v>
      </c>
      <c r="D51" s="2" t="s">
        <v>20</v>
      </c>
      <c r="E51" s="2" t="s">
        <v>149</v>
      </c>
      <c r="F51" s="2">
        <v>3.1</v>
      </c>
      <c r="G51" s="2" t="s">
        <v>30</v>
      </c>
      <c r="H51" s="9">
        <v>2.9</v>
      </c>
      <c r="I51" s="9">
        <v>14.5</v>
      </c>
      <c r="J51" s="2">
        <v>4</v>
      </c>
      <c r="K51" s="2" t="s">
        <v>17</v>
      </c>
      <c r="L51" s="19" t="str">
        <f t="shared" si="3"/>
        <v>June</v>
      </c>
      <c r="M51" s="12" t="str">
        <f t="shared" si="0"/>
        <v>Rated</v>
      </c>
      <c r="N51" s="12" t="str">
        <f t="shared" si="4"/>
        <v>Satisfied</v>
      </c>
      <c r="O51" s="2" t="str">
        <f t="shared" si="1"/>
        <v>1 Day</v>
      </c>
      <c r="P51" s="2" t="str">
        <f t="shared" si="2"/>
        <v>SLA met</v>
      </c>
    </row>
    <row r="52" spans="1:16" ht="15.75" customHeight="1" x14ac:dyDescent="0.35">
      <c r="A52" s="2" t="s">
        <v>150</v>
      </c>
      <c r="B52" s="4" t="s">
        <v>151</v>
      </c>
      <c r="C52" s="2" t="s">
        <v>13</v>
      </c>
      <c r="D52" s="2" t="s">
        <v>41</v>
      </c>
      <c r="E52" s="2" t="s">
        <v>152</v>
      </c>
      <c r="F52" s="2">
        <v>3.1</v>
      </c>
      <c r="G52" s="2" t="s">
        <v>16</v>
      </c>
      <c r="H52" s="9">
        <v>1.4</v>
      </c>
      <c r="I52" s="9">
        <v>56</v>
      </c>
      <c r="J52" s="2"/>
      <c r="K52" s="2" t="s">
        <v>17</v>
      </c>
      <c r="L52" s="19" t="str">
        <f t="shared" si="3"/>
        <v>June</v>
      </c>
      <c r="M52" s="12" t="str">
        <f t="shared" si="0"/>
        <v>Not Rated</v>
      </c>
      <c r="N52" s="12" t="str">
        <f t="shared" si="4"/>
        <v>Not Rated</v>
      </c>
      <c r="O52" s="2" t="str">
        <f t="shared" si="1"/>
        <v>More than 2 days</v>
      </c>
      <c r="P52" s="2" t="str">
        <f t="shared" si="2"/>
        <v>SLA met</v>
      </c>
    </row>
    <row r="53" spans="1:16" ht="15.75" customHeight="1" x14ac:dyDescent="0.35">
      <c r="A53" s="2" t="s">
        <v>153</v>
      </c>
      <c r="B53" s="4" t="s">
        <v>154</v>
      </c>
      <c r="C53" s="2" t="s">
        <v>24</v>
      </c>
      <c r="D53" s="2" t="s">
        <v>33</v>
      </c>
      <c r="E53" s="2" t="s">
        <v>84</v>
      </c>
      <c r="F53" s="2">
        <v>3.1</v>
      </c>
      <c r="G53" s="2" t="s">
        <v>30</v>
      </c>
      <c r="H53" s="9">
        <v>11.4</v>
      </c>
      <c r="I53" s="9">
        <v>22.6</v>
      </c>
      <c r="J53" s="2"/>
      <c r="K53" s="2" t="s">
        <v>17</v>
      </c>
      <c r="L53" s="19" t="str">
        <f t="shared" si="3"/>
        <v>June</v>
      </c>
      <c r="M53" s="12" t="str">
        <f t="shared" si="0"/>
        <v>Not Rated</v>
      </c>
      <c r="N53" s="12" t="str">
        <f t="shared" si="4"/>
        <v>Not Rated</v>
      </c>
      <c r="O53" s="2" t="str">
        <f t="shared" si="1"/>
        <v>1 Day</v>
      </c>
      <c r="P53" s="2" t="str">
        <f t="shared" si="2"/>
        <v>Failed to meet SLA</v>
      </c>
    </row>
    <row r="54" spans="1:16" ht="15.75" customHeight="1" x14ac:dyDescent="0.35">
      <c r="A54" s="2" t="s">
        <v>155</v>
      </c>
      <c r="B54" s="4" t="s">
        <v>156</v>
      </c>
      <c r="C54" s="2" t="s">
        <v>24</v>
      </c>
      <c r="D54" s="2" t="s">
        <v>45</v>
      </c>
      <c r="E54" s="2" t="s">
        <v>157</v>
      </c>
      <c r="F54" s="2">
        <v>3.1</v>
      </c>
      <c r="G54" s="2" t="s">
        <v>30</v>
      </c>
      <c r="H54" s="9">
        <v>8.9</v>
      </c>
      <c r="I54" s="9">
        <v>19.100000000000001</v>
      </c>
      <c r="J54" s="2"/>
      <c r="K54" s="2" t="s">
        <v>17</v>
      </c>
      <c r="L54" s="19" t="str">
        <f t="shared" si="3"/>
        <v>June</v>
      </c>
      <c r="M54" s="12" t="str">
        <f t="shared" si="0"/>
        <v>Not Rated</v>
      </c>
      <c r="N54" s="12" t="str">
        <f t="shared" si="4"/>
        <v>Not Rated</v>
      </c>
      <c r="O54" s="2" t="str">
        <f t="shared" si="1"/>
        <v>1 Day</v>
      </c>
      <c r="P54" s="2" t="str">
        <f t="shared" si="2"/>
        <v>Failed to meet SLA</v>
      </c>
    </row>
    <row r="55" spans="1:16" ht="15.75" customHeight="1" x14ac:dyDescent="0.35">
      <c r="A55" s="2" t="s">
        <v>158</v>
      </c>
      <c r="B55" s="4" t="s">
        <v>159</v>
      </c>
      <c r="C55" s="2" t="s">
        <v>13</v>
      </c>
      <c r="D55" s="2" t="s">
        <v>75</v>
      </c>
      <c r="E55" s="2" t="s">
        <v>76</v>
      </c>
      <c r="F55" s="2">
        <v>3.1</v>
      </c>
      <c r="G55" s="2" t="s">
        <v>16</v>
      </c>
      <c r="H55" s="9">
        <v>1.8</v>
      </c>
      <c r="I55" s="9">
        <v>12.7</v>
      </c>
      <c r="J55" s="2"/>
      <c r="K55" s="2" t="s">
        <v>17</v>
      </c>
      <c r="L55" s="19" t="str">
        <f t="shared" si="3"/>
        <v>June</v>
      </c>
      <c r="M55" s="12" t="str">
        <f t="shared" si="0"/>
        <v>Not Rated</v>
      </c>
      <c r="N55" s="12" t="str">
        <f t="shared" si="4"/>
        <v>Not Rated</v>
      </c>
      <c r="O55" s="2" t="str">
        <f t="shared" si="1"/>
        <v>1 Day</v>
      </c>
      <c r="P55" s="2" t="str">
        <f t="shared" si="2"/>
        <v>SLA met</v>
      </c>
    </row>
    <row r="56" spans="1:16" ht="15.75" customHeight="1" x14ac:dyDescent="0.35">
      <c r="A56" s="2" t="s">
        <v>160</v>
      </c>
      <c r="B56" s="4" t="s">
        <v>161</v>
      </c>
      <c r="C56" s="2" t="s">
        <v>13</v>
      </c>
      <c r="D56" s="2" t="s">
        <v>52</v>
      </c>
      <c r="E56" s="2" t="s">
        <v>90</v>
      </c>
      <c r="F56" s="2">
        <v>3.1</v>
      </c>
      <c r="G56" s="2" t="s">
        <v>30</v>
      </c>
      <c r="H56" s="9">
        <v>2.4</v>
      </c>
      <c r="I56" s="9">
        <v>35.799999999999997</v>
      </c>
      <c r="J56" s="2"/>
      <c r="K56" s="2" t="s">
        <v>17</v>
      </c>
      <c r="L56" s="19" t="str">
        <f t="shared" si="3"/>
        <v>June</v>
      </c>
      <c r="M56" s="12" t="str">
        <f t="shared" si="0"/>
        <v>Not Rated</v>
      </c>
      <c r="N56" s="12" t="str">
        <f t="shared" si="4"/>
        <v>Not Rated</v>
      </c>
      <c r="O56" s="2" t="str">
        <f t="shared" si="1"/>
        <v>2 Days</v>
      </c>
      <c r="P56" s="2" t="str">
        <f t="shared" si="2"/>
        <v>SLA met</v>
      </c>
    </row>
    <row r="57" spans="1:16" ht="15.75" customHeight="1" x14ac:dyDescent="0.35">
      <c r="A57" s="2" t="s">
        <v>162</v>
      </c>
      <c r="B57" s="4" t="s">
        <v>163</v>
      </c>
      <c r="C57" s="2" t="s">
        <v>24</v>
      </c>
      <c r="D57" s="2" t="s">
        <v>14</v>
      </c>
      <c r="E57" s="2" t="s">
        <v>15</v>
      </c>
      <c r="F57" s="2">
        <v>3.1</v>
      </c>
      <c r="G57" s="2" t="s">
        <v>16</v>
      </c>
      <c r="H57" s="9">
        <v>4.4000000000000004</v>
      </c>
      <c r="I57" s="9">
        <v>28.1</v>
      </c>
      <c r="J57" s="2"/>
      <c r="K57" s="2" t="s">
        <v>17</v>
      </c>
      <c r="L57" s="19" t="str">
        <f t="shared" si="3"/>
        <v>June</v>
      </c>
      <c r="M57" s="12" t="str">
        <f t="shared" si="0"/>
        <v>Not Rated</v>
      </c>
      <c r="N57" s="12" t="str">
        <f t="shared" si="4"/>
        <v>Not Rated</v>
      </c>
      <c r="O57" s="2" t="str">
        <f t="shared" si="1"/>
        <v>2 Days</v>
      </c>
      <c r="P57" s="2" t="str">
        <f t="shared" si="2"/>
        <v>SLA met</v>
      </c>
    </row>
    <row r="58" spans="1:16" ht="15.75" customHeight="1" x14ac:dyDescent="0.35">
      <c r="A58" s="2" t="s">
        <v>164</v>
      </c>
      <c r="B58" s="4" t="s">
        <v>165</v>
      </c>
      <c r="C58" s="2" t="s">
        <v>13</v>
      </c>
      <c r="D58" s="2" t="s">
        <v>45</v>
      </c>
      <c r="E58" s="2" t="s">
        <v>66</v>
      </c>
      <c r="F58" s="2">
        <v>3.1</v>
      </c>
      <c r="G58" s="2" t="s">
        <v>16</v>
      </c>
      <c r="H58" s="9">
        <v>2.1</v>
      </c>
      <c r="I58" s="9">
        <v>36.700000000000003</v>
      </c>
      <c r="J58" s="2">
        <v>4</v>
      </c>
      <c r="K58" s="2" t="s">
        <v>17</v>
      </c>
      <c r="L58" s="19" t="str">
        <f t="shared" si="3"/>
        <v>June</v>
      </c>
      <c r="M58" s="12" t="str">
        <f t="shared" si="0"/>
        <v>Rated</v>
      </c>
      <c r="N58" s="12" t="str">
        <f t="shared" si="4"/>
        <v>Satisfied</v>
      </c>
      <c r="O58" s="2" t="str">
        <f t="shared" si="1"/>
        <v>2 Days</v>
      </c>
      <c r="P58" s="2" t="str">
        <f t="shared" si="2"/>
        <v>SLA met</v>
      </c>
    </row>
    <row r="59" spans="1:16" ht="15.75" customHeight="1" x14ac:dyDescent="0.35">
      <c r="A59" s="2" t="s">
        <v>166</v>
      </c>
      <c r="B59" s="4" t="s">
        <v>167</v>
      </c>
      <c r="C59" s="2" t="s">
        <v>24</v>
      </c>
      <c r="D59" s="2" t="s">
        <v>28</v>
      </c>
      <c r="E59" s="2" t="s">
        <v>168</v>
      </c>
      <c r="F59" s="2">
        <v>3.1</v>
      </c>
      <c r="G59" s="2" t="s">
        <v>30</v>
      </c>
      <c r="H59" s="9">
        <v>12.2</v>
      </c>
      <c r="I59" s="9">
        <v>15.9</v>
      </c>
      <c r="J59" s="2"/>
      <c r="K59" s="2" t="s">
        <v>17</v>
      </c>
      <c r="L59" s="19" t="str">
        <f t="shared" si="3"/>
        <v>June</v>
      </c>
      <c r="M59" s="12" t="str">
        <f t="shared" si="0"/>
        <v>Not Rated</v>
      </c>
      <c r="N59" s="12" t="str">
        <f t="shared" si="4"/>
        <v>Not Rated</v>
      </c>
      <c r="O59" s="2" t="str">
        <f t="shared" si="1"/>
        <v>1 Day</v>
      </c>
      <c r="P59" s="2" t="str">
        <f t="shared" si="2"/>
        <v>Failed to meet SLA</v>
      </c>
    </row>
    <row r="60" spans="1:16" ht="15.75" customHeight="1" x14ac:dyDescent="0.35">
      <c r="A60" s="2" t="s">
        <v>169</v>
      </c>
      <c r="B60" s="4" t="s">
        <v>170</v>
      </c>
      <c r="C60" s="2" t="s">
        <v>13</v>
      </c>
      <c r="D60" s="2" t="s">
        <v>20</v>
      </c>
      <c r="E60" s="2" t="s">
        <v>21</v>
      </c>
      <c r="F60" s="2">
        <v>3.1</v>
      </c>
      <c r="G60" s="2" t="s">
        <v>16</v>
      </c>
      <c r="H60" s="9">
        <v>1.2</v>
      </c>
      <c r="I60" s="9">
        <v>16.7</v>
      </c>
      <c r="J60" s="2">
        <v>4</v>
      </c>
      <c r="K60" s="2" t="s">
        <v>17</v>
      </c>
      <c r="L60" s="19" t="str">
        <f t="shared" si="3"/>
        <v>June</v>
      </c>
      <c r="M60" s="12" t="str">
        <f t="shared" si="0"/>
        <v>Rated</v>
      </c>
      <c r="N60" s="12" t="str">
        <f t="shared" si="4"/>
        <v>Satisfied</v>
      </c>
      <c r="O60" s="2" t="str">
        <f t="shared" si="1"/>
        <v>1 Day</v>
      </c>
      <c r="P60" s="2" t="str">
        <f t="shared" si="2"/>
        <v>SLA met</v>
      </c>
    </row>
    <row r="61" spans="1:16" ht="15.75" customHeight="1" x14ac:dyDescent="0.35">
      <c r="A61" s="2" t="s">
        <v>171</v>
      </c>
      <c r="B61" s="4" t="s">
        <v>172</v>
      </c>
      <c r="C61" s="2" t="s">
        <v>24</v>
      </c>
      <c r="D61" s="2" t="s">
        <v>52</v>
      </c>
      <c r="E61" s="2" t="s">
        <v>173</v>
      </c>
      <c r="F61" s="2">
        <v>3.1</v>
      </c>
      <c r="G61" s="2" t="s">
        <v>30</v>
      </c>
      <c r="H61" s="9">
        <v>8.5</v>
      </c>
      <c r="I61" s="9">
        <v>27.7</v>
      </c>
      <c r="J61" s="2">
        <v>4</v>
      </c>
      <c r="K61" s="2" t="s">
        <v>17</v>
      </c>
      <c r="L61" s="19" t="str">
        <f t="shared" si="3"/>
        <v>June</v>
      </c>
      <c r="M61" s="12" t="str">
        <f t="shared" si="0"/>
        <v>Rated</v>
      </c>
      <c r="N61" s="12" t="str">
        <f t="shared" si="4"/>
        <v>Satisfied</v>
      </c>
      <c r="O61" s="2" t="str">
        <f t="shared" si="1"/>
        <v>2 Days</v>
      </c>
      <c r="P61" s="2" t="str">
        <f t="shared" si="2"/>
        <v>Failed to meet SLA</v>
      </c>
    </row>
    <row r="62" spans="1:16" ht="15.75" customHeight="1" x14ac:dyDescent="0.35">
      <c r="A62" s="2" t="s">
        <v>174</v>
      </c>
      <c r="B62" s="4" t="s">
        <v>175</v>
      </c>
      <c r="C62" s="2" t="s">
        <v>24</v>
      </c>
      <c r="D62" s="2" t="s">
        <v>45</v>
      </c>
      <c r="E62" s="2" t="s">
        <v>124</v>
      </c>
      <c r="F62" s="2">
        <v>3.1</v>
      </c>
      <c r="G62" s="2" t="s">
        <v>30</v>
      </c>
      <c r="H62" s="9">
        <v>7.1</v>
      </c>
      <c r="I62" s="9">
        <v>19.5</v>
      </c>
      <c r="J62" s="2">
        <v>2</v>
      </c>
      <c r="K62" s="2" t="s">
        <v>17</v>
      </c>
      <c r="L62" s="19" t="str">
        <f t="shared" si="3"/>
        <v>June</v>
      </c>
      <c r="M62" s="12" t="str">
        <f t="shared" si="0"/>
        <v>Rated</v>
      </c>
      <c r="N62" s="12" t="str">
        <f t="shared" si="4"/>
        <v>Dissatisfied</v>
      </c>
      <c r="O62" s="2" t="str">
        <f t="shared" si="1"/>
        <v>1 Day</v>
      </c>
      <c r="P62" s="2" t="str">
        <f t="shared" si="2"/>
        <v>Failed to meet SLA</v>
      </c>
    </row>
    <row r="63" spans="1:16" ht="15.75" customHeight="1" x14ac:dyDescent="0.35">
      <c r="A63" s="2" t="s">
        <v>176</v>
      </c>
      <c r="B63" s="4" t="s">
        <v>177</v>
      </c>
      <c r="C63" s="2" t="s">
        <v>13</v>
      </c>
      <c r="D63" s="2" t="s">
        <v>45</v>
      </c>
      <c r="E63" s="2" t="s">
        <v>178</v>
      </c>
      <c r="F63" s="2">
        <v>3.1</v>
      </c>
      <c r="G63" s="2" t="s">
        <v>16</v>
      </c>
      <c r="H63" s="9">
        <v>2</v>
      </c>
      <c r="I63" s="9">
        <v>15.4</v>
      </c>
      <c r="J63" s="2"/>
      <c r="K63" s="2" t="s">
        <v>17</v>
      </c>
      <c r="L63" s="19" t="str">
        <f t="shared" si="3"/>
        <v>June</v>
      </c>
      <c r="M63" s="12" t="str">
        <f t="shared" si="0"/>
        <v>Not Rated</v>
      </c>
      <c r="N63" s="12" t="str">
        <f t="shared" si="4"/>
        <v>Not Rated</v>
      </c>
      <c r="O63" s="2" t="str">
        <f t="shared" si="1"/>
        <v>1 Day</v>
      </c>
      <c r="P63" s="2" t="str">
        <f t="shared" si="2"/>
        <v>SLA met</v>
      </c>
    </row>
    <row r="64" spans="1:16" ht="15.75" customHeight="1" x14ac:dyDescent="0.35">
      <c r="A64" s="2" t="s">
        <v>179</v>
      </c>
      <c r="B64" s="4" t="s">
        <v>180</v>
      </c>
      <c r="C64" s="2" t="s">
        <v>13</v>
      </c>
      <c r="D64" s="2" t="s">
        <v>33</v>
      </c>
      <c r="E64" s="2" t="s">
        <v>34</v>
      </c>
      <c r="F64" s="2">
        <v>3.1</v>
      </c>
      <c r="G64" s="2" t="s">
        <v>16</v>
      </c>
      <c r="H64" s="9">
        <v>2.4</v>
      </c>
      <c r="I64" s="9">
        <v>21.8</v>
      </c>
      <c r="J64" s="2">
        <v>5</v>
      </c>
      <c r="K64" s="2" t="s">
        <v>17</v>
      </c>
      <c r="L64" s="19" t="str">
        <f t="shared" si="3"/>
        <v>June</v>
      </c>
      <c r="M64" s="12" t="str">
        <f t="shared" si="0"/>
        <v>Rated</v>
      </c>
      <c r="N64" s="12" t="str">
        <f t="shared" si="4"/>
        <v>Satisfied</v>
      </c>
      <c r="O64" s="2" t="str">
        <f t="shared" si="1"/>
        <v>1 Day</v>
      </c>
      <c r="P64" s="2" t="str">
        <f t="shared" si="2"/>
        <v>SLA met</v>
      </c>
    </row>
    <row r="65" spans="1:16" ht="15.75" customHeight="1" x14ac:dyDescent="0.35">
      <c r="A65" s="2" t="s">
        <v>181</v>
      </c>
      <c r="B65" s="4" t="s">
        <v>182</v>
      </c>
      <c r="C65" s="2" t="s">
        <v>24</v>
      </c>
      <c r="D65" s="2" t="s">
        <v>41</v>
      </c>
      <c r="E65" s="2" t="s">
        <v>152</v>
      </c>
      <c r="F65" s="2">
        <v>3.1</v>
      </c>
      <c r="G65" s="2" t="s">
        <v>30</v>
      </c>
      <c r="H65" s="9">
        <v>12.2</v>
      </c>
      <c r="I65" s="9">
        <v>61.2</v>
      </c>
      <c r="J65" s="2">
        <v>1</v>
      </c>
      <c r="K65" s="2" t="s">
        <v>17</v>
      </c>
      <c r="L65" s="19" t="str">
        <f t="shared" si="3"/>
        <v>June</v>
      </c>
      <c r="M65" s="12" t="str">
        <f t="shared" si="0"/>
        <v>Rated</v>
      </c>
      <c r="N65" s="12" t="str">
        <f t="shared" si="4"/>
        <v>Dissatisfied</v>
      </c>
      <c r="O65" s="2" t="str">
        <f t="shared" si="1"/>
        <v>More than 2 days</v>
      </c>
      <c r="P65" s="2" t="str">
        <f t="shared" si="2"/>
        <v>Failed to meet SLA</v>
      </c>
    </row>
    <row r="66" spans="1:16" ht="15.75" customHeight="1" x14ac:dyDescent="0.35">
      <c r="A66" s="2" t="s">
        <v>183</v>
      </c>
      <c r="B66" s="4" t="s">
        <v>184</v>
      </c>
      <c r="C66" s="2" t="s">
        <v>13</v>
      </c>
      <c r="D66" s="2" t="s">
        <v>33</v>
      </c>
      <c r="E66" s="2" t="s">
        <v>34</v>
      </c>
      <c r="F66" s="2">
        <v>3.1</v>
      </c>
      <c r="G66" s="2" t="s">
        <v>16</v>
      </c>
      <c r="H66" s="9">
        <v>1.7</v>
      </c>
      <c r="I66" s="9">
        <v>13.1</v>
      </c>
      <c r="J66" s="2">
        <v>3</v>
      </c>
      <c r="K66" s="2" t="s">
        <v>17</v>
      </c>
      <c r="L66" s="19" t="str">
        <f t="shared" si="3"/>
        <v>June</v>
      </c>
      <c r="M66" s="12" t="str">
        <f t="shared" ref="M66:M129" si="5">IF(ISBLANK(J66), "Not Rated", "Rated")</f>
        <v>Rated</v>
      </c>
      <c r="N66" s="12" t="str">
        <f t="shared" si="4"/>
        <v>Neutral</v>
      </c>
      <c r="O66" s="2" t="str">
        <f t="shared" ref="O66:O129" si="6">IF(I66&lt;=24,"1 Day",IF(I66&gt;48,"More than 2 days", "2 Days"))</f>
        <v>1 Day</v>
      </c>
      <c r="P66" s="2" t="str">
        <f t="shared" ref="P66:P129" si="7">IF(H66&lt;=6, "SLA met","Failed to meet SLA")</f>
        <v>SLA met</v>
      </c>
    </row>
    <row r="67" spans="1:16" ht="15.75" customHeight="1" x14ac:dyDescent="0.35">
      <c r="A67" s="2" t="s">
        <v>185</v>
      </c>
      <c r="B67" s="4" t="s">
        <v>186</v>
      </c>
      <c r="C67" s="2" t="s">
        <v>13</v>
      </c>
      <c r="D67" s="2" t="s">
        <v>41</v>
      </c>
      <c r="E67" s="2" t="s">
        <v>187</v>
      </c>
      <c r="F67" s="2">
        <v>3.1</v>
      </c>
      <c r="G67" s="2" t="s">
        <v>30</v>
      </c>
      <c r="H67" s="9">
        <v>2.5</v>
      </c>
      <c r="I67" s="9">
        <v>31.2</v>
      </c>
      <c r="J67" s="2">
        <v>2</v>
      </c>
      <c r="K67" s="2" t="s">
        <v>17</v>
      </c>
      <c r="L67" s="19" t="str">
        <f t="shared" ref="L67:L130" si="8">TEXT(B67,"mmmm")</f>
        <v>June</v>
      </c>
      <c r="M67" s="12" t="str">
        <f t="shared" si="5"/>
        <v>Rated</v>
      </c>
      <c r="N67" s="12" t="str">
        <f t="shared" ref="N67:N130" si="9">IF(J67&gt;=4, "Satisfied", IF(J67=3, "Neutral",IF(J67&gt;=1,"Dissatisfied", "Not Rated")))</f>
        <v>Dissatisfied</v>
      </c>
      <c r="O67" s="2" t="str">
        <f t="shared" si="6"/>
        <v>2 Days</v>
      </c>
      <c r="P67" s="2" t="str">
        <f t="shared" si="7"/>
        <v>SLA met</v>
      </c>
    </row>
    <row r="68" spans="1:16" ht="15.75" customHeight="1" x14ac:dyDescent="0.35">
      <c r="A68" s="2" t="s">
        <v>188</v>
      </c>
      <c r="B68" s="4" t="s">
        <v>189</v>
      </c>
      <c r="C68" s="2" t="s">
        <v>24</v>
      </c>
      <c r="D68" s="2" t="s">
        <v>28</v>
      </c>
      <c r="E68" s="2" t="s">
        <v>59</v>
      </c>
      <c r="F68" s="2">
        <v>3.1</v>
      </c>
      <c r="G68" s="2" t="s">
        <v>16</v>
      </c>
      <c r="H68" s="9">
        <v>2.6</v>
      </c>
      <c r="I68" s="9">
        <v>4</v>
      </c>
      <c r="J68" s="2"/>
      <c r="K68" s="2" t="s">
        <v>17</v>
      </c>
      <c r="L68" s="19" t="str">
        <f t="shared" si="8"/>
        <v>June</v>
      </c>
      <c r="M68" s="12" t="str">
        <f t="shared" si="5"/>
        <v>Not Rated</v>
      </c>
      <c r="N68" s="12" t="str">
        <f t="shared" si="9"/>
        <v>Not Rated</v>
      </c>
      <c r="O68" s="2" t="str">
        <f t="shared" si="6"/>
        <v>1 Day</v>
      </c>
      <c r="P68" s="2" t="str">
        <f t="shared" si="7"/>
        <v>SLA met</v>
      </c>
    </row>
    <row r="69" spans="1:16" ht="15.75" customHeight="1" x14ac:dyDescent="0.35">
      <c r="A69" s="2" t="s">
        <v>190</v>
      </c>
      <c r="B69" s="4" t="s">
        <v>191</v>
      </c>
      <c r="C69" s="2" t="s">
        <v>24</v>
      </c>
      <c r="D69" s="2" t="s">
        <v>14</v>
      </c>
      <c r="E69" s="2" t="s">
        <v>81</v>
      </c>
      <c r="F69" s="2">
        <v>3.1</v>
      </c>
      <c r="G69" s="2" t="s">
        <v>30</v>
      </c>
      <c r="H69" s="9">
        <v>13.3</v>
      </c>
      <c r="I69" s="9">
        <v>8.6999999999999993</v>
      </c>
      <c r="J69" s="2">
        <v>4</v>
      </c>
      <c r="K69" s="2" t="s">
        <v>17</v>
      </c>
      <c r="L69" s="19" t="str">
        <f t="shared" si="8"/>
        <v>June</v>
      </c>
      <c r="M69" s="12" t="str">
        <f t="shared" si="5"/>
        <v>Rated</v>
      </c>
      <c r="N69" s="12" t="str">
        <f t="shared" si="9"/>
        <v>Satisfied</v>
      </c>
      <c r="O69" s="2" t="str">
        <f t="shared" si="6"/>
        <v>1 Day</v>
      </c>
      <c r="P69" s="2" t="str">
        <f t="shared" si="7"/>
        <v>Failed to meet SLA</v>
      </c>
    </row>
    <row r="70" spans="1:16" ht="15.75" customHeight="1" x14ac:dyDescent="0.35">
      <c r="A70" s="2" t="s">
        <v>192</v>
      </c>
      <c r="B70" s="4" t="s">
        <v>193</v>
      </c>
      <c r="C70" s="2" t="s">
        <v>13</v>
      </c>
      <c r="D70" s="2" t="s">
        <v>28</v>
      </c>
      <c r="E70" s="2" t="s">
        <v>59</v>
      </c>
      <c r="F70" s="2">
        <v>3.1</v>
      </c>
      <c r="G70" s="2" t="s">
        <v>16</v>
      </c>
      <c r="H70" s="9">
        <v>0.9</v>
      </c>
      <c r="I70" s="9">
        <v>11.3</v>
      </c>
      <c r="J70" s="2"/>
      <c r="K70" s="2" t="s">
        <v>17</v>
      </c>
      <c r="L70" s="19" t="str">
        <f t="shared" si="8"/>
        <v>June</v>
      </c>
      <c r="M70" s="12" t="str">
        <f t="shared" si="5"/>
        <v>Not Rated</v>
      </c>
      <c r="N70" s="12" t="str">
        <f t="shared" si="9"/>
        <v>Not Rated</v>
      </c>
      <c r="O70" s="2" t="str">
        <f t="shared" si="6"/>
        <v>1 Day</v>
      </c>
      <c r="P70" s="2" t="str">
        <f t="shared" si="7"/>
        <v>SLA met</v>
      </c>
    </row>
    <row r="71" spans="1:16" ht="15.75" customHeight="1" x14ac:dyDescent="0.35">
      <c r="A71" s="2" t="s">
        <v>194</v>
      </c>
      <c r="B71" s="4" t="s">
        <v>195</v>
      </c>
      <c r="C71" s="2" t="s">
        <v>24</v>
      </c>
      <c r="D71" s="2" t="s">
        <v>14</v>
      </c>
      <c r="E71" s="2" t="s">
        <v>25</v>
      </c>
      <c r="F71" s="2">
        <v>3.1</v>
      </c>
      <c r="G71" s="2" t="s">
        <v>16</v>
      </c>
      <c r="H71" s="9">
        <v>11.9</v>
      </c>
      <c r="I71" s="9">
        <v>9.8000000000000007</v>
      </c>
      <c r="J71" s="2">
        <v>2</v>
      </c>
      <c r="K71" s="2" t="s">
        <v>17</v>
      </c>
      <c r="L71" s="19" t="str">
        <f t="shared" si="8"/>
        <v>June</v>
      </c>
      <c r="M71" s="12" t="str">
        <f t="shared" si="5"/>
        <v>Rated</v>
      </c>
      <c r="N71" s="12" t="str">
        <f t="shared" si="9"/>
        <v>Dissatisfied</v>
      </c>
      <c r="O71" s="2" t="str">
        <f t="shared" si="6"/>
        <v>1 Day</v>
      </c>
      <c r="P71" s="2" t="str">
        <f t="shared" si="7"/>
        <v>Failed to meet SLA</v>
      </c>
    </row>
    <row r="72" spans="1:16" ht="15.75" customHeight="1" x14ac:dyDescent="0.35">
      <c r="A72" s="2" t="s">
        <v>196</v>
      </c>
      <c r="B72" s="4" t="s">
        <v>197</v>
      </c>
      <c r="C72" s="2" t="s">
        <v>24</v>
      </c>
      <c r="D72" s="2" t="s">
        <v>33</v>
      </c>
      <c r="E72" s="2" t="s">
        <v>84</v>
      </c>
      <c r="F72" s="2">
        <v>3.1</v>
      </c>
      <c r="G72" s="2" t="s">
        <v>16</v>
      </c>
      <c r="H72" s="9">
        <v>5.4</v>
      </c>
      <c r="I72" s="9">
        <v>8.8000000000000007</v>
      </c>
      <c r="J72" s="2">
        <v>4</v>
      </c>
      <c r="K72" s="2" t="s">
        <v>17</v>
      </c>
      <c r="L72" s="19" t="str">
        <f t="shared" si="8"/>
        <v>June</v>
      </c>
      <c r="M72" s="12" t="str">
        <f t="shared" si="5"/>
        <v>Rated</v>
      </c>
      <c r="N72" s="12" t="str">
        <f t="shared" si="9"/>
        <v>Satisfied</v>
      </c>
      <c r="O72" s="2" t="str">
        <f t="shared" si="6"/>
        <v>1 Day</v>
      </c>
      <c r="P72" s="2" t="str">
        <f t="shared" si="7"/>
        <v>SLA met</v>
      </c>
    </row>
    <row r="73" spans="1:16" ht="15.75" customHeight="1" x14ac:dyDescent="0.35">
      <c r="A73" s="2" t="s">
        <v>198</v>
      </c>
      <c r="B73" s="4" t="s">
        <v>199</v>
      </c>
      <c r="C73" s="2" t="s">
        <v>24</v>
      </c>
      <c r="D73" s="2" t="s">
        <v>75</v>
      </c>
      <c r="E73" s="2" t="s">
        <v>200</v>
      </c>
      <c r="F73" s="2">
        <v>3.1</v>
      </c>
      <c r="G73" s="2" t="s">
        <v>16</v>
      </c>
      <c r="H73" s="9">
        <v>5.2</v>
      </c>
      <c r="I73" s="9">
        <v>19.399999999999999</v>
      </c>
      <c r="J73" s="2">
        <v>4</v>
      </c>
      <c r="K73" s="2" t="s">
        <v>17</v>
      </c>
      <c r="L73" s="19" t="str">
        <f t="shared" si="8"/>
        <v>June</v>
      </c>
      <c r="M73" s="12" t="str">
        <f t="shared" si="5"/>
        <v>Rated</v>
      </c>
      <c r="N73" s="12" t="str">
        <f t="shared" si="9"/>
        <v>Satisfied</v>
      </c>
      <c r="O73" s="2" t="str">
        <f t="shared" si="6"/>
        <v>1 Day</v>
      </c>
      <c r="P73" s="2" t="str">
        <f t="shared" si="7"/>
        <v>SLA met</v>
      </c>
    </row>
    <row r="74" spans="1:16" ht="15.75" customHeight="1" x14ac:dyDescent="0.35">
      <c r="A74" s="2" t="s">
        <v>201</v>
      </c>
      <c r="B74" s="4" t="s">
        <v>202</v>
      </c>
      <c r="C74" s="2" t="s">
        <v>13</v>
      </c>
      <c r="D74" s="2" t="s">
        <v>33</v>
      </c>
      <c r="E74" s="2" t="s">
        <v>84</v>
      </c>
      <c r="F74" s="2">
        <v>3.1</v>
      </c>
      <c r="G74" s="2" t="s">
        <v>30</v>
      </c>
      <c r="H74" s="9">
        <v>2.1</v>
      </c>
      <c r="I74" s="9">
        <v>16.2</v>
      </c>
      <c r="J74" s="2"/>
      <c r="K74" s="2" t="s">
        <v>17</v>
      </c>
      <c r="L74" s="19" t="str">
        <f t="shared" si="8"/>
        <v>June</v>
      </c>
      <c r="M74" s="12" t="str">
        <f t="shared" si="5"/>
        <v>Not Rated</v>
      </c>
      <c r="N74" s="12" t="str">
        <f t="shared" si="9"/>
        <v>Not Rated</v>
      </c>
      <c r="O74" s="2" t="str">
        <f t="shared" si="6"/>
        <v>1 Day</v>
      </c>
      <c r="P74" s="2" t="str">
        <f t="shared" si="7"/>
        <v>SLA met</v>
      </c>
    </row>
    <row r="75" spans="1:16" ht="15.75" customHeight="1" x14ac:dyDescent="0.35">
      <c r="A75" s="2" t="s">
        <v>203</v>
      </c>
      <c r="B75" s="4" t="s">
        <v>204</v>
      </c>
      <c r="C75" s="2" t="s">
        <v>13</v>
      </c>
      <c r="D75" s="2" t="s">
        <v>33</v>
      </c>
      <c r="E75" s="2" t="s">
        <v>205</v>
      </c>
      <c r="F75" s="2">
        <v>3.1</v>
      </c>
      <c r="G75" s="2" t="s">
        <v>16</v>
      </c>
      <c r="H75" s="9">
        <v>0.8</v>
      </c>
      <c r="I75" s="9">
        <v>15</v>
      </c>
      <c r="J75" s="2">
        <v>4</v>
      </c>
      <c r="K75" s="2" t="s">
        <v>17</v>
      </c>
      <c r="L75" s="19" t="str">
        <f t="shared" si="8"/>
        <v>June</v>
      </c>
      <c r="M75" s="12" t="str">
        <f t="shared" si="5"/>
        <v>Rated</v>
      </c>
      <c r="N75" s="12" t="str">
        <f t="shared" si="9"/>
        <v>Satisfied</v>
      </c>
      <c r="O75" s="2" t="str">
        <f t="shared" si="6"/>
        <v>1 Day</v>
      </c>
      <c r="P75" s="2" t="str">
        <f t="shared" si="7"/>
        <v>SLA met</v>
      </c>
    </row>
    <row r="76" spans="1:16" ht="15.75" customHeight="1" x14ac:dyDescent="0.35">
      <c r="A76" s="2" t="s">
        <v>206</v>
      </c>
      <c r="B76" s="4" t="s">
        <v>207</v>
      </c>
      <c r="C76" s="2" t="s">
        <v>13</v>
      </c>
      <c r="D76" s="2" t="s">
        <v>14</v>
      </c>
      <c r="E76" s="2" t="s">
        <v>208</v>
      </c>
      <c r="F76" s="2">
        <v>3.1</v>
      </c>
      <c r="G76" s="2" t="s">
        <v>30</v>
      </c>
      <c r="H76" s="9">
        <v>1.5</v>
      </c>
      <c r="I76" s="9">
        <v>25.5</v>
      </c>
      <c r="J76" s="2">
        <v>3</v>
      </c>
      <c r="K76" s="2" t="s">
        <v>17</v>
      </c>
      <c r="L76" s="19" t="str">
        <f t="shared" si="8"/>
        <v>June</v>
      </c>
      <c r="M76" s="12" t="str">
        <f t="shared" si="5"/>
        <v>Rated</v>
      </c>
      <c r="N76" s="12" t="str">
        <f t="shared" si="9"/>
        <v>Neutral</v>
      </c>
      <c r="O76" s="2" t="str">
        <f t="shared" si="6"/>
        <v>2 Days</v>
      </c>
      <c r="P76" s="2" t="str">
        <f t="shared" si="7"/>
        <v>SLA met</v>
      </c>
    </row>
    <row r="77" spans="1:16" ht="15.75" customHeight="1" x14ac:dyDescent="0.35">
      <c r="A77" s="2" t="s">
        <v>209</v>
      </c>
      <c r="B77" s="4" t="s">
        <v>210</v>
      </c>
      <c r="C77" s="2" t="s">
        <v>24</v>
      </c>
      <c r="D77" s="2" t="s">
        <v>14</v>
      </c>
      <c r="E77" s="2" t="s">
        <v>56</v>
      </c>
      <c r="F77" s="2">
        <v>3.1</v>
      </c>
      <c r="G77" s="2" t="s">
        <v>16</v>
      </c>
      <c r="H77" s="9">
        <v>10.8</v>
      </c>
      <c r="I77" s="9">
        <v>8.3000000000000007</v>
      </c>
      <c r="J77" s="2"/>
      <c r="K77" s="2" t="s">
        <v>17</v>
      </c>
      <c r="L77" s="19" t="str">
        <f t="shared" si="8"/>
        <v>June</v>
      </c>
      <c r="M77" s="12" t="str">
        <f t="shared" si="5"/>
        <v>Not Rated</v>
      </c>
      <c r="N77" s="12" t="str">
        <f t="shared" si="9"/>
        <v>Not Rated</v>
      </c>
      <c r="O77" s="2" t="str">
        <f t="shared" si="6"/>
        <v>1 Day</v>
      </c>
      <c r="P77" s="2" t="str">
        <f t="shared" si="7"/>
        <v>Failed to meet SLA</v>
      </c>
    </row>
    <row r="78" spans="1:16" ht="15.75" customHeight="1" x14ac:dyDescent="0.35">
      <c r="A78" s="2" t="s">
        <v>211</v>
      </c>
      <c r="B78" s="4" t="s">
        <v>212</v>
      </c>
      <c r="C78" s="2" t="s">
        <v>13</v>
      </c>
      <c r="D78" s="2" t="s">
        <v>41</v>
      </c>
      <c r="E78" s="2" t="s">
        <v>42</v>
      </c>
      <c r="F78" s="2">
        <v>3.1</v>
      </c>
      <c r="G78" s="2" t="s">
        <v>30</v>
      </c>
      <c r="H78" s="9">
        <v>0.7</v>
      </c>
      <c r="I78" s="9">
        <v>69.5</v>
      </c>
      <c r="J78" s="2"/>
      <c r="K78" s="2" t="s">
        <v>17</v>
      </c>
      <c r="L78" s="19" t="str">
        <f t="shared" si="8"/>
        <v>June</v>
      </c>
      <c r="M78" s="12" t="str">
        <f t="shared" si="5"/>
        <v>Not Rated</v>
      </c>
      <c r="N78" s="12" t="str">
        <f t="shared" si="9"/>
        <v>Not Rated</v>
      </c>
      <c r="O78" s="2" t="str">
        <f t="shared" si="6"/>
        <v>More than 2 days</v>
      </c>
      <c r="P78" s="2" t="str">
        <f t="shared" si="7"/>
        <v>SLA met</v>
      </c>
    </row>
    <row r="79" spans="1:16" ht="15.75" customHeight="1" x14ac:dyDescent="0.35">
      <c r="A79" s="2" t="s">
        <v>213</v>
      </c>
      <c r="B79" s="4" t="s">
        <v>214</v>
      </c>
      <c r="C79" s="2" t="s">
        <v>24</v>
      </c>
      <c r="D79" s="2" t="s">
        <v>52</v>
      </c>
      <c r="E79" s="2" t="s">
        <v>173</v>
      </c>
      <c r="F79" s="2">
        <v>3.1</v>
      </c>
      <c r="G79" s="2" t="s">
        <v>30</v>
      </c>
      <c r="H79" s="9">
        <v>6.2</v>
      </c>
      <c r="I79" s="9">
        <v>14.6</v>
      </c>
      <c r="J79" s="2">
        <v>4</v>
      </c>
      <c r="K79" s="2" t="s">
        <v>17</v>
      </c>
      <c r="L79" s="19" t="str">
        <f t="shared" si="8"/>
        <v>June</v>
      </c>
      <c r="M79" s="12" t="str">
        <f t="shared" si="5"/>
        <v>Rated</v>
      </c>
      <c r="N79" s="12" t="str">
        <f t="shared" si="9"/>
        <v>Satisfied</v>
      </c>
      <c r="O79" s="2" t="str">
        <f t="shared" si="6"/>
        <v>1 Day</v>
      </c>
      <c r="P79" s="2" t="str">
        <f t="shared" si="7"/>
        <v>Failed to meet SLA</v>
      </c>
    </row>
    <row r="80" spans="1:16" ht="15.75" customHeight="1" x14ac:dyDescent="0.35">
      <c r="A80" s="2" t="s">
        <v>215</v>
      </c>
      <c r="B80" s="4" t="s">
        <v>216</v>
      </c>
      <c r="C80" s="2" t="s">
        <v>13</v>
      </c>
      <c r="D80" s="2" t="s">
        <v>14</v>
      </c>
      <c r="E80" s="2" t="s">
        <v>15</v>
      </c>
      <c r="F80" s="2">
        <v>3.1</v>
      </c>
      <c r="G80" s="2" t="s">
        <v>30</v>
      </c>
      <c r="H80" s="9">
        <v>2.4</v>
      </c>
      <c r="I80" s="9">
        <v>19</v>
      </c>
      <c r="J80" s="2">
        <v>4</v>
      </c>
      <c r="K80" s="2" t="s">
        <v>17</v>
      </c>
      <c r="L80" s="19" t="str">
        <f t="shared" si="8"/>
        <v>June</v>
      </c>
      <c r="M80" s="12" t="str">
        <f t="shared" si="5"/>
        <v>Rated</v>
      </c>
      <c r="N80" s="12" t="str">
        <f t="shared" si="9"/>
        <v>Satisfied</v>
      </c>
      <c r="O80" s="2" t="str">
        <f t="shared" si="6"/>
        <v>1 Day</v>
      </c>
      <c r="P80" s="2" t="str">
        <f t="shared" si="7"/>
        <v>SLA met</v>
      </c>
    </row>
    <row r="81" spans="1:16" ht="15.75" customHeight="1" x14ac:dyDescent="0.35">
      <c r="A81" s="2" t="s">
        <v>217</v>
      </c>
      <c r="B81" s="4" t="s">
        <v>218</v>
      </c>
      <c r="C81" s="2" t="s">
        <v>13</v>
      </c>
      <c r="D81" s="2" t="s">
        <v>20</v>
      </c>
      <c r="E81" s="2" t="s">
        <v>138</v>
      </c>
      <c r="F81" s="2">
        <v>3.1</v>
      </c>
      <c r="G81" s="2" t="s">
        <v>30</v>
      </c>
      <c r="H81" s="9">
        <v>2.4</v>
      </c>
      <c r="I81" s="9">
        <v>2.2999999999999998</v>
      </c>
      <c r="J81" s="2">
        <v>3</v>
      </c>
      <c r="K81" s="2" t="s">
        <v>17</v>
      </c>
      <c r="L81" s="19" t="str">
        <f t="shared" si="8"/>
        <v>June</v>
      </c>
      <c r="M81" s="12" t="str">
        <f t="shared" si="5"/>
        <v>Rated</v>
      </c>
      <c r="N81" s="12" t="str">
        <f t="shared" si="9"/>
        <v>Neutral</v>
      </c>
      <c r="O81" s="2" t="str">
        <f t="shared" si="6"/>
        <v>1 Day</v>
      </c>
      <c r="P81" s="2" t="str">
        <f t="shared" si="7"/>
        <v>SLA met</v>
      </c>
    </row>
    <row r="82" spans="1:16" ht="15.75" customHeight="1" x14ac:dyDescent="0.35">
      <c r="A82" s="2" t="s">
        <v>219</v>
      </c>
      <c r="B82" s="4" t="s">
        <v>220</v>
      </c>
      <c r="C82" s="2" t="s">
        <v>24</v>
      </c>
      <c r="D82" s="2" t="s">
        <v>33</v>
      </c>
      <c r="E82" s="2" t="s">
        <v>205</v>
      </c>
      <c r="F82" s="2">
        <v>3.1</v>
      </c>
      <c r="G82" s="2" t="s">
        <v>30</v>
      </c>
      <c r="H82" s="9">
        <v>12.4</v>
      </c>
      <c r="I82" s="9">
        <v>11.9</v>
      </c>
      <c r="J82" s="2"/>
      <c r="K82" s="2" t="s">
        <v>17</v>
      </c>
      <c r="L82" s="19" t="str">
        <f t="shared" si="8"/>
        <v>June</v>
      </c>
      <c r="M82" s="12" t="str">
        <f t="shared" si="5"/>
        <v>Not Rated</v>
      </c>
      <c r="N82" s="12" t="str">
        <f t="shared" si="9"/>
        <v>Not Rated</v>
      </c>
      <c r="O82" s="2" t="str">
        <f t="shared" si="6"/>
        <v>1 Day</v>
      </c>
      <c r="P82" s="2" t="str">
        <f t="shared" si="7"/>
        <v>Failed to meet SLA</v>
      </c>
    </row>
    <row r="83" spans="1:16" ht="15.75" customHeight="1" x14ac:dyDescent="0.35">
      <c r="A83" s="2" t="s">
        <v>221</v>
      </c>
      <c r="B83" s="4" t="s">
        <v>222</v>
      </c>
      <c r="C83" s="2" t="s">
        <v>24</v>
      </c>
      <c r="D83" s="2" t="s">
        <v>14</v>
      </c>
      <c r="E83" s="2" t="s">
        <v>208</v>
      </c>
      <c r="F83" s="2">
        <v>3.1</v>
      </c>
      <c r="G83" s="2" t="s">
        <v>30</v>
      </c>
      <c r="H83" s="9">
        <v>1.4</v>
      </c>
      <c r="I83" s="9">
        <v>15.7</v>
      </c>
      <c r="J83" s="2"/>
      <c r="K83" s="2" t="s">
        <v>17</v>
      </c>
      <c r="L83" s="19" t="str">
        <f t="shared" si="8"/>
        <v>June</v>
      </c>
      <c r="M83" s="12" t="str">
        <f t="shared" si="5"/>
        <v>Not Rated</v>
      </c>
      <c r="N83" s="12" t="str">
        <f t="shared" si="9"/>
        <v>Not Rated</v>
      </c>
      <c r="O83" s="2" t="str">
        <f t="shared" si="6"/>
        <v>1 Day</v>
      </c>
      <c r="P83" s="2" t="str">
        <f t="shared" si="7"/>
        <v>SLA met</v>
      </c>
    </row>
    <row r="84" spans="1:16" ht="15.75" customHeight="1" x14ac:dyDescent="0.35">
      <c r="A84" s="2" t="s">
        <v>223</v>
      </c>
      <c r="B84" s="4" t="s">
        <v>224</v>
      </c>
      <c r="C84" s="2" t="s">
        <v>13</v>
      </c>
      <c r="D84" s="2" t="s">
        <v>14</v>
      </c>
      <c r="E84" s="2" t="s">
        <v>25</v>
      </c>
      <c r="F84" s="2">
        <v>3.1</v>
      </c>
      <c r="G84" s="2" t="s">
        <v>30</v>
      </c>
      <c r="H84" s="9">
        <v>1</v>
      </c>
      <c r="I84" s="9">
        <v>26.3</v>
      </c>
      <c r="J84" s="2"/>
      <c r="K84" s="2" t="s">
        <v>17</v>
      </c>
      <c r="L84" s="19" t="str">
        <f t="shared" si="8"/>
        <v>June</v>
      </c>
      <c r="M84" s="12" t="str">
        <f t="shared" si="5"/>
        <v>Not Rated</v>
      </c>
      <c r="N84" s="12" t="str">
        <f t="shared" si="9"/>
        <v>Not Rated</v>
      </c>
      <c r="O84" s="2" t="str">
        <f t="shared" si="6"/>
        <v>2 Days</v>
      </c>
      <c r="P84" s="2" t="str">
        <f t="shared" si="7"/>
        <v>SLA met</v>
      </c>
    </row>
    <row r="85" spans="1:16" ht="15.75" customHeight="1" x14ac:dyDescent="0.35">
      <c r="A85" s="2" t="s">
        <v>225</v>
      </c>
      <c r="B85" s="4" t="s">
        <v>226</v>
      </c>
      <c r="C85" s="2" t="s">
        <v>13</v>
      </c>
      <c r="D85" s="2" t="s">
        <v>33</v>
      </c>
      <c r="E85" s="2" t="s">
        <v>34</v>
      </c>
      <c r="F85" s="2">
        <v>3.1</v>
      </c>
      <c r="G85" s="2" t="s">
        <v>16</v>
      </c>
      <c r="H85" s="9">
        <v>2</v>
      </c>
      <c r="I85" s="9">
        <v>25.8</v>
      </c>
      <c r="J85" s="2">
        <v>3</v>
      </c>
      <c r="K85" s="2" t="s">
        <v>17</v>
      </c>
      <c r="L85" s="19" t="str">
        <f t="shared" si="8"/>
        <v>June</v>
      </c>
      <c r="M85" s="12" t="str">
        <f t="shared" si="5"/>
        <v>Rated</v>
      </c>
      <c r="N85" s="12" t="str">
        <f t="shared" si="9"/>
        <v>Neutral</v>
      </c>
      <c r="O85" s="2" t="str">
        <f t="shared" si="6"/>
        <v>2 Days</v>
      </c>
      <c r="P85" s="2" t="str">
        <f t="shared" si="7"/>
        <v>SLA met</v>
      </c>
    </row>
    <row r="86" spans="1:16" ht="15.75" customHeight="1" x14ac:dyDescent="0.35">
      <c r="A86" s="2" t="s">
        <v>227</v>
      </c>
      <c r="B86" s="4" t="s">
        <v>228</v>
      </c>
      <c r="C86" s="2" t="s">
        <v>24</v>
      </c>
      <c r="D86" s="2" t="s">
        <v>20</v>
      </c>
      <c r="E86" s="2" t="s">
        <v>138</v>
      </c>
      <c r="F86" s="2">
        <v>3.1</v>
      </c>
      <c r="G86" s="2" t="s">
        <v>16</v>
      </c>
      <c r="H86" s="9">
        <v>1.5</v>
      </c>
      <c r="I86" s="9">
        <v>10.3</v>
      </c>
      <c r="J86" s="2">
        <v>4</v>
      </c>
      <c r="K86" s="2" t="s">
        <v>17</v>
      </c>
      <c r="L86" s="19" t="str">
        <f t="shared" si="8"/>
        <v>June</v>
      </c>
      <c r="M86" s="12" t="str">
        <f t="shared" si="5"/>
        <v>Rated</v>
      </c>
      <c r="N86" s="12" t="str">
        <f t="shared" si="9"/>
        <v>Satisfied</v>
      </c>
      <c r="O86" s="2" t="str">
        <f t="shared" si="6"/>
        <v>1 Day</v>
      </c>
      <c r="P86" s="2" t="str">
        <f t="shared" si="7"/>
        <v>SLA met</v>
      </c>
    </row>
    <row r="87" spans="1:16" ht="15.75" customHeight="1" x14ac:dyDescent="0.35">
      <c r="A87" s="2" t="s">
        <v>229</v>
      </c>
      <c r="B87" s="4" t="s">
        <v>230</v>
      </c>
      <c r="C87" s="2" t="s">
        <v>24</v>
      </c>
      <c r="D87" s="2" t="s">
        <v>28</v>
      </c>
      <c r="E87" s="2" t="s">
        <v>168</v>
      </c>
      <c r="F87" s="2">
        <v>3.1</v>
      </c>
      <c r="G87" s="2" t="s">
        <v>30</v>
      </c>
      <c r="H87" s="9">
        <v>10.7</v>
      </c>
      <c r="I87" s="9">
        <v>2.9</v>
      </c>
      <c r="J87" s="2"/>
      <c r="K87" s="2" t="s">
        <v>17</v>
      </c>
      <c r="L87" s="19" t="str">
        <f t="shared" si="8"/>
        <v>June</v>
      </c>
      <c r="M87" s="12" t="str">
        <f t="shared" si="5"/>
        <v>Not Rated</v>
      </c>
      <c r="N87" s="12" t="str">
        <f t="shared" si="9"/>
        <v>Not Rated</v>
      </c>
      <c r="O87" s="2" t="str">
        <f t="shared" si="6"/>
        <v>1 Day</v>
      </c>
      <c r="P87" s="2" t="str">
        <f t="shared" si="7"/>
        <v>Failed to meet SLA</v>
      </c>
    </row>
    <row r="88" spans="1:16" ht="15.75" customHeight="1" x14ac:dyDescent="0.35">
      <c r="A88" s="2" t="s">
        <v>231</v>
      </c>
      <c r="B88" s="4" t="s">
        <v>232</v>
      </c>
      <c r="C88" s="2" t="s">
        <v>13</v>
      </c>
      <c r="D88" s="2" t="s">
        <v>28</v>
      </c>
      <c r="E88" s="2" t="s">
        <v>87</v>
      </c>
      <c r="F88" s="2">
        <v>3.1</v>
      </c>
      <c r="G88" s="2" t="s">
        <v>16</v>
      </c>
      <c r="H88" s="9">
        <v>1</v>
      </c>
      <c r="I88" s="9">
        <v>16</v>
      </c>
      <c r="J88" s="2"/>
      <c r="K88" s="2" t="s">
        <v>17</v>
      </c>
      <c r="L88" s="19" t="str">
        <f t="shared" si="8"/>
        <v>June</v>
      </c>
      <c r="M88" s="12" t="str">
        <f t="shared" si="5"/>
        <v>Not Rated</v>
      </c>
      <c r="N88" s="12" t="str">
        <f t="shared" si="9"/>
        <v>Not Rated</v>
      </c>
      <c r="O88" s="2" t="str">
        <f t="shared" si="6"/>
        <v>1 Day</v>
      </c>
      <c r="P88" s="2" t="str">
        <f t="shared" si="7"/>
        <v>SLA met</v>
      </c>
    </row>
    <row r="89" spans="1:16" ht="15.75" customHeight="1" x14ac:dyDescent="0.35">
      <c r="A89" s="2" t="s">
        <v>233</v>
      </c>
      <c r="B89" s="4" t="s">
        <v>234</v>
      </c>
      <c r="C89" s="2" t="s">
        <v>13</v>
      </c>
      <c r="D89" s="2" t="s">
        <v>45</v>
      </c>
      <c r="E89" s="2" t="s">
        <v>46</v>
      </c>
      <c r="F89" s="2">
        <v>3.1</v>
      </c>
      <c r="G89" s="2" t="s">
        <v>30</v>
      </c>
      <c r="H89" s="9">
        <v>2.2999999999999998</v>
      </c>
      <c r="I89" s="9">
        <v>32.4</v>
      </c>
      <c r="J89" s="2">
        <v>2</v>
      </c>
      <c r="K89" s="2" t="s">
        <v>17</v>
      </c>
      <c r="L89" s="19" t="str">
        <f t="shared" si="8"/>
        <v>June</v>
      </c>
      <c r="M89" s="12" t="str">
        <f t="shared" si="5"/>
        <v>Rated</v>
      </c>
      <c r="N89" s="12" t="str">
        <f t="shared" si="9"/>
        <v>Dissatisfied</v>
      </c>
      <c r="O89" s="2" t="str">
        <f t="shared" si="6"/>
        <v>2 Days</v>
      </c>
      <c r="P89" s="2" t="str">
        <f t="shared" si="7"/>
        <v>SLA met</v>
      </c>
    </row>
    <row r="90" spans="1:16" ht="15.75" customHeight="1" x14ac:dyDescent="0.35">
      <c r="A90" s="2" t="s">
        <v>235</v>
      </c>
      <c r="B90" s="4" t="s">
        <v>236</v>
      </c>
      <c r="C90" s="2" t="s">
        <v>13</v>
      </c>
      <c r="D90" s="2" t="s">
        <v>28</v>
      </c>
      <c r="E90" s="2" t="s">
        <v>59</v>
      </c>
      <c r="F90" s="2">
        <v>3.1</v>
      </c>
      <c r="G90" s="2" t="s">
        <v>30</v>
      </c>
      <c r="H90" s="9">
        <v>1.9</v>
      </c>
      <c r="I90" s="9">
        <v>2.2000000000000002</v>
      </c>
      <c r="J90" s="2">
        <v>4</v>
      </c>
      <c r="K90" s="2" t="s">
        <v>17</v>
      </c>
      <c r="L90" s="19" t="str">
        <f t="shared" si="8"/>
        <v>June</v>
      </c>
      <c r="M90" s="12" t="str">
        <f t="shared" si="5"/>
        <v>Rated</v>
      </c>
      <c r="N90" s="12" t="str">
        <f t="shared" si="9"/>
        <v>Satisfied</v>
      </c>
      <c r="O90" s="2" t="str">
        <f t="shared" si="6"/>
        <v>1 Day</v>
      </c>
      <c r="P90" s="2" t="str">
        <f t="shared" si="7"/>
        <v>SLA met</v>
      </c>
    </row>
    <row r="91" spans="1:16" ht="15.75" customHeight="1" x14ac:dyDescent="0.35">
      <c r="A91" s="2" t="s">
        <v>237</v>
      </c>
      <c r="B91" s="4" t="s">
        <v>238</v>
      </c>
      <c r="C91" s="2" t="s">
        <v>24</v>
      </c>
      <c r="D91" s="2" t="s">
        <v>20</v>
      </c>
      <c r="E91" s="2" t="s">
        <v>21</v>
      </c>
      <c r="F91" s="2">
        <v>3.1</v>
      </c>
      <c r="G91" s="2" t="s">
        <v>16</v>
      </c>
      <c r="H91" s="9">
        <v>2.6</v>
      </c>
      <c r="I91" s="9">
        <v>12.1</v>
      </c>
      <c r="J91" s="2">
        <v>5</v>
      </c>
      <c r="K91" s="2" t="s">
        <v>17</v>
      </c>
      <c r="L91" s="19" t="str">
        <f t="shared" si="8"/>
        <v>June</v>
      </c>
      <c r="M91" s="12" t="str">
        <f t="shared" si="5"/>
        <v>Rated</v>
      </c>
      <c r="N91" s="12" t="str">
        <f t="shared" si="9"/>
        <v>Satisfied</v>
      </c>
      <c r="O91" s="2" t="str">
        <f t="shared" si="6"/>
        <v>1 Day</v>
      </c>
      <c r="P91" s="2" t="str">
        <f t="shared" si="7"/>
        <v>SLA met</v>
      </c>
    </row>
    <row r="92" spans="1:16" ht="15.75" customHeight="1" x14ac:dyDescent="0.35">
      <c r="A92" s="2" t="s">
        <v>239</v>
      </c>
      <c r="B92" s="4" t="s">
        <v>240</v>
      </c>
      <c r="C92" s="2" t="s">
        <v>24</v>
      </c>
      <c r="D92" s="2" t="s">
        <v>75</v>
      </c>
      <c r="E92" s="2" t="s">
        <v>241</v>
      </c>
      <c r="F92" s="2">
        <v>3.1</v>
      </c>
      <c r="G92" s="2" t="s">
        <v>30</v>
      </c>
      <c r="H92" s="9">
        <v>9.5</v>
      </c>
      <c r="I92" s="9">
        <v>15.4</v>
      </c>
      <c r="J92" s="2"/>
      <c r="K92" s="2" t="s">
        <v>17</v>
      </c>
      <c r="L92" s="19" t="str">
        <f t="shared" si="8"/>
        <v>June</v>
      </c>
      <c r="M92" s="12" t="str">
        <f t="shared" si="5"/>
        <v>Not Rated</v>
      </c>
      <c r="N92" s="12" t="str">
        <f t="shared" si="9"/>
        <v>Not Rated</v>
      </c>
      <c r="O92" s="2" t="str">
        <f t="shared" si="6"/>
        <v>1 Day</v>
      </c>
      <c r="P92" s="2" t="str">
        <f t="shared" si="7"/>
        <v>Failed to meet SLA</v>
      </c>
    </row>
    <row r="93" spans="1:16" ht="15.75" customHeight="1" x14ac:dyDescent="0.35">
      <c r="A93" s="2" t="s">
        <v>242</v>
      </c>
      <c r="B93" s="4" t="s">
        <v>243</v>
      </c>
      <c r="C93" s="2" t="s">
        <v>24</v>
      </c>
      <c r="D93" s="2" t="s">
        <v>28</v>
      </c>
      <c r="E93" s="2" t="s">
        <v>59</v>
      </c>
      <c r="F93" s="2">
        <v>3.1</v>
      </c>
      <c r="G93" s="2" t="s">
        <v>16</v>
      </c>
      <c r="H93" s="9">
        <v>4.7</v>
      </c>
      <c r="I93" s="9">
        <v>5.9</v>
      </c>
      <c r="J93" s="2">
        <v>3</v>
      </c>
      <c r="K93" s="2" t="s">
        <v>17</v>
      </c>
      <c r="L93" s="19" t="str">
        <f t="shared" si="8"/>
        <v>June</v>
      </c>
      <c r="M93" s="12" t="str">
        <f t="shared" si="5"/>
        <v>Rated</v>
      </c>
      <c r="N93" s="12" t="str">
        <f t="shared" si="9"/>
        <v>Neutral</v>
      </c>
      <c r="O93" s="2" t="str">
        <f t="shared" si="6"/>
        <v>1 Day</v>
      </c>
      <c r="P93" s="2" t="str">
        <f t="shared" si="7"/>
        <v>SLA met</v>
      </c>
    </row>
    <row r="94" spans="1:16" ht="15.75" customHeight="1" x14ac:dyDescent="0.35">
      <c r="A94" s="2" t="s">
        <v>244</v>
      </c>
      <c r="B94" s="4" t="s">
        <v>245</v>
      </c>
      <c r="C94" s="2" t="s">
        <v>24</v>
      </c>
      <c r="D94" s="2" t="s">
        <v>14</v>
      </c>
      <c r="E94" s="2" t="s">
        <v>15</v>
      </c>
      <c r="F94" s="2">
        <v>3.1</v>
      </c>
      <c r="G94" s="2" t="s">
        <v>30</v>
      </c>
      <c r="H94" s="9">
        <v>7.5</v>
      </c>
      <c r="I94" s="9">
        <v>14.9</v>
      </c>
      <c r="J94" s="2"/>
      <c r="K94" s="2" t="s">
        <v>17</v>
      </c>
      <c r="L94" s="19" t="str">
        <f t="shared" si="8"/>
        <v>June</v>
      </c>
      <c r="M94" s="12" t="str">
        <f t="shared" si="5"/>
        <v>Not Rated</v>
      </c>
      <c r="N94" s="12" t="str">
        <f t="shared" si="9"/>
        <v>Not Rated</v>
      </c>
      <c r="O94" s="2" t="str">
        <f t="shared" si="6"/>
        <v>1 Day</v>
      </c>
      <c r="P94" s="2" t="str">
        <f t="shared" si="7"/>
        <v>Failed to meet SLA</v>
      </c>
    </row>
    <row r="95" spans="1:16" ht="15.75" customHeight="1" x14ac:dyDescent="0.35">
      <c r="A95" s="2" t="s">
        <v>246</v>
      </c>
      <c r="B95" s="4" t="s">
        <v>247</v>
      </c>
      <c r="C95" s="2" t="s">
        <v>24</v>
      </c>
      <c r="D95" s="2" t="s">
        <v>20</v>
      </c>
      <c r="E95" s="2" t="s">
        <v>49</v>
      </c>
      <c r="F95" s="2">
        <v>3.1</v>
      </c>
      <c r="G95" s="2" t="s">
        <v>16</v>
      </c>
      <c r="H95" s="9">
        <v>13.3</v>
      </c>
      <c r="I95" s="9">
        <v>13.2</v>
      </c>
      <c r="J95" s="2"/>
      <c r="K95" s="2" t="s">
        <v>17</v>
      </c>
      <c r="L95" s="19" t="str">
        <f t="shared" si="8"/>
        <v>June</v>
      </c>
      <c r="M95" s="12" t="str">
        <f t="shared" si="5"/>
        <v>Not Rated</v>
      </c>
      <c r="N95" s="12" t="str">
        <f t="shared" si="9"/>
        <v>Not Rated</v>
      </c>
      <c r="O95" s="2" t="str">
        <f t="shared" si="6"/>
        <v>1 Day</v>
      </c>
      <c r="P95" s="2" t="str">
        <f t="shared" si="7"/>
        <v>Failed to meet SLA</v>
      </c>
    </row>
    <row r="96" spans="1:16" ht="15.75" customHeight="1" x14ac:dyDescent="0.35">
      <c r="A96" s="2" t="s">
        <v>248</v>
      </c>
      <c r="B96" s="4" t="s">
        <v>249</v>
      </c>
      <c r="C96" s="2" t="s">
        <v>13</v>
      </c>
      <c r="D96" s="2" t="s">
        <v>75</v>
      </c>
      <c r="E96" s="2" t="s">
        <v>200</v>
      </c>
      <c r="F96" s="2">
        <v>3.1</v>
      </c>
      <c r="G96" s="2" t="s">
        <v>16</v>
      </c>
      <c r="H96" s="9">
        <v>0.2</v>
      </c>
      <c r="I96" s="9">
        <v>2.4</v>
      </c>
      <c r="J96" s="2">
        <v>3</v>
      </c>
      <c r="K96" s="2" t="s">
        <v>17</v>
      </c>
      <c r="L96" s="19" t="str">
        <f t="shared" si="8"/>
        <v>June</v>
      </c>
      <c r="M96" s="12" t="str">
        <f t="shared" si="5"/>
        <v>Rated</v>
      </c>
      <c r="N96" s="12" t="str">
        <f t="shared" si="9"/>
        <v>Neutral</v>
      </c>
      <c r="O96" s="2" t="str">
        <f t="shared" si="6"/>
        <v>1 Day</v>
      </c>
      <c r="P96" s="2" t="str">
        <f t="shared" si="7"/>
        <v>SLA met</v>
      </c>
    </row>
    <row r="97" spans="1:16" ht="15.75" customHeight="1" x14ac:dyDescent="0.35">
      <c r="A97" s="2" t="s">
        <v>250</v>
      </c>
      <c r="B97" s="4" t="s">
        <v>251</v>
      </c>
      <c r="C97" s="2" t="s">
        <v>13</v>
      </c>
      <c r="D97" s="2" t="s">
        <v>52</v>
      </c>
      <c r="E97" s="2" t="s">
        <v>252</v>
      </c>
      <c r="F97" s="2">
        <v>3.1</v>
      </c>
      <c r="G97" s="2" t="s">
        <v>30</v>
      </c>
      <c r="H97" s="9">
        <v>1.7</v>
      </c>
      <c r="I97" s="9">
        <v>21.7</v>
      </c>
      <c r="J97" s="2"/>
      <c r="K97" s="2" t="s">
        <v>17</v>
      </c>
      <c r="L97" s="19" t="str">
        <f t="shared" si="8"/>
        <v>June</v>
      </c>
      <c r="M97" s="12" t="str">
        <f t="shared" si="5"/>
        <v>Not Rated</v>
      </c>
      <c r="N97" s="12" t="str">
        <f t="shared" si="9"/>
        <v>Not Rated</v>
      </c>
      <c r="O97" s="2" t="str">
        <f t="shared" si="6"/>
        <v>1 Day</v>
      </c>
      <c r="P97" s="2" t="str">
        <f t="shared" si="7"/>
        <v>SLA met</v>
      </c>
    </row>
    <row r="98" spans="1:16" ht="15.75" customHeight="1" x14ac:dyDescent="0.35">
      <c r="A98" s="2" t="s">
        <v>253</v>
      </c>
      <c r="B98" s="4" t="s">
        <v>254</v>
      </c>
      <c r="C98" s="2" t="s">
        <v>13</v>
      </c>
      <c r="D98" s="2" t="s">
        <v>28</v>
      </c>
      <c r="E98" s="2" t="s">
        <v>95</v>
      </c>
      <c r="F98" s="2">
        <v>3.1</v>
      </c>
      <c r="G98" s="2" t="s">
        <v>30</v>
      </c>
      <c r="H98" s="9">
        <v>1.6</v>
      </c>
      <c r="I98" s="9">
        <v>3.8</v>
      </c>
      <c r="J98" s="2"/>
      <c r="K98" s="2" t="s">
        <v>17</v>
      </c>
      <c r="L98" s="19" t="str">
        <f t="shared" si="8"/>
        <v>June</v>
      </c>
      <c r="M98" s="12" t="str">
        <f t="shared" si="5"/>
        <v>Not Rated</v>
      </c>
      <c r="N98" s="12" t="str">
        <f t="shared" si="9"/>
        <v>Not Rated</v>
      </c>
      <c r="O98" s="2" t="str">
        <f t="shared" si="6"/>
        <v>1 Day</v>
      </c>
      <c r="P98" s="2" t="str">
        <f t="shared" si="7"/>
        <v>SLA met</v>
      </c>
    </row>
    <row r="99" spans="1:16" ht="15.75" customHeight="1" x14ac:dyDescent="0.35">
      <c r="A99" s="2" t="s">
        <v>255</v>
      </c>
      <c r="B99" s="4" t="s">
        <v>256</v>
      </c>
      <c r="C99" s="2" t="s">
        <v>24</v>
      </c>
      <c r="D99" s="2" t="s">
        <v>33</v>
      </c>
      <c r="E99" s="2" t="s">
        <v>84</v>
      </c>
      <c r="F99" s="2">
        <v>3.1</v>
      </c>
      <c r="G99" s="2" t="s">
        <v>16</v>
      </c>
      <c r="H99" s="9">
        <v>6</v>
      </c>
      <c r="I99" s="9">
        <v>3.2</v>
      </c>
      <c r="J99" s="2">
        <v>5</v>
      </c>
      <c r="K99" s="2" t="s">
        <v>17</v>
      </c>
      <c r="L99" s="19" t="str">
        <f t="shared" si="8"/>
        <v>June</v>
      </c>
      <c r="M99" s="12" t="str">
        <f t="shared" si="5"/>
        <v>Rated</v>
      </c>
      <c r="N99" s="12" t="str">
        <f t="shared" si="9"/>
        <v>Satisfied</v>
      </c>
      <c r="O99" s="2" t="str">
        <f t="shared" si="6"/>
        <v>1 Day</v>
      </c>
      <c r="P99" s="2" t="str">
        <f t="shared" si="7"/>
        <v>SLA met</v>
      </c>
    </row>
    <row r="100" spans="1:16" ht="15.75" customHeight="1" x14ac:dyDescent="0.35">
      <c r="A100" s="2" t="s">
        <v>257</v>
      </c>
      <c r="B100" s="4" t="s">
        <v>258</v>
      </c>
      <c r="C100" s="2" t="s">
        <v>24</v>
      </c>
      <c r="D100" s="2" t="s">
        <v>20</v>
      </c>
      <c r="E100" s="2" t="s">
        <v>138</v>
      </c>
      <c r="F100" s="2">
        <v>3.1</v>
      </c>
      <c r="G100" s="2" t="s">
        <v>30</v>
      </c>
      <c r="H100" s="9">
        <v>3.9</v>
      </c>
      <c r="I100" s="9">
        <v>12.6</v>
      </c>
      <c r="J100" s="2">
        <v>5</v>
      </c>
      <c r="K100" s="2" t="s">
        <v>17</v>
      </c>
      <c r="L100" s="19" t="str">
        <f t="shared" si="8"/>
        <v>June</v>
      </c>
      <c r="M100" s="12" t="str">
        <f t="shared" si="5"/>
        <v>Rated</v>
      </c>
      <c r="N100" s="12" t="str">
        <f t="shared" si="9"/>
        <v>Satisfied</v>
      </c>
      <c r="O100" s="2" t="str">
        <f t="shared" si="6"/>
        <v>1 Day</v>
      </c>
      <c r="P100" s="2" t="str">
        <f t="shared" si="7"/>
        <v>SLA met</v>
      </c>
    </row>
    <row r="101" spans="1:16" ht="15.75" customHeight="1" x14ac:dyDescent="0.35">
      <c r="A101" s="2" t="s">
        <v>259</v>
      </c>
      <c r="B101" s="4" t="s">
        <v>260</v>
      </c>
      <c r="C101" s="2" t="s">
        <v>24</v>
      </c>
      <c r="D101" s="2" t="s">
        <v>41</v>
      </c>
      <c r="E101" s="2" t="s">
        <v>42</v>
      </c>
      <c r="F101" s="2">
        <v>3.1</v>
      </c>
      <c r="G101" s="2" t="s">
        <v>16</v>
      </c>
      <c r="H101" s="9">
        <v>9.1999999999999993</v>
      </c>
      <c r="I101" s="9">
        <v>56.5</v>
      </c>
      <c r="J101" s="2">
        <v>2</v>
      </c>
      <c r="K101" s="2" t="s">
        <v>17</v>
      </c>
      <c r="L101" s="19" t="str">
        <f t="shared" si="8"/>
        <v>June</v>
      </c>
      <c r="M101" s="12" t="str">
        <f t="shared" si="5"/>
        <v>Rated</v>
      </c>
      <c r="N101" s="12" t="str">
        <f t="shared" si="9"/>
        <v>Dissatisfied</v>
      </c>
      <c r="O101" s="2" t="str">
        <f t="shared" si="6"/>
        <v>More than 2 days</v>
      </c>
      <c r="P101" s="2" t="str">
        <f t="shared" si="7"/>
        <v>Failed to meet SLA</v>
      </c>
    </row>
    <row r="102" spans="1:16" ht="15.75" customHeight="1" x14ac:dyDescent="0.35">
      <c r="A102" s="2" t="s">
        <v>261</v>
      </c>
      <c r="B102" s="4" t="s">
        <v>262</v>
      </c>
      <c r="C102" s="2" t="s">
        <v>24</v>
      </c>
      <c r="D102" s="2" t="s">
        <v>75</v>
      </c>
      <c r="E102" s="2" t="s">
        <v>241</v>
      </c>
      <c r="F102" s="2">
        <v>3.1</v>
      </c>
      <c r="G102" s="2" t="s">
        <v>30</v>
      </c>
      <c r="H102" s="9">
        <v>6.4</v>
      </c>
      <c r="I102" s="9">
        <v>8.1</v>
      </c>
      <c r="J102" s="2">
        <v>5</v>
      </c>
      <c r="K102" s="2" t="s">
        <v>17</v>
      </c>
      <c r="L102" s="19" t="str">
        <f t="shared" si="8"/>
        <v>June</v>
      </c>
      <c r="M102" s="12" t="str">
        <f t="shared" si="5"/>
        <v>Rated</v>
      </c>
      <c r="N102" s="12" t="str">
        <f t="shared" si="9"/>
        <v>Satisfied</v>
      </c>
      <c r="O102" s="2" t="str">
        <f t="shared" si="6"/>
        <v>1 Day</v>
      </c>
      <c r="P102" s="2" t="str">
        <f t="shared" si="7"/>
        <v>Failed to meet SLA</v>
      </c>
    </row>
    <row r="103" spans="1:16" ht="15.75" customHeight="1" x14ac:dyDescent="0.35">
      <c r="A103" s="2" t="s">
        <v>263</v>
      </c>
      <c r="B103" s="4" t="s">
        <v>264</v>
      </c>
      <c r="C103" s="2" t="s">
        <v>13</v>
      </c>
      <c r="D103" s="2" t="s">
        <v>14</v>
      </c>
      <c r="E103" s="2" t="s">
        <v>15</v>
      </c>
      <c r="F103" s="2">
        <v>3.1</v>
      </c>
      <c r="G103" s="2" t="s">
        <v>30</v>
      </c>
      <c r="H103" s="9">
        <v>0.8</v>
      </c>
      <c r="I103" s="9">
        <v>2.8</v>
      </c>
      <c r="J103" s="2">
        <v>3</v>
      </c>
      <c r="K103" s="2" t="s">
        <v>17</v>
      </c>
      <c r="L103" s="19" t="str">
        <f t="shared" si="8"/>
        <v>June</v>
      </c>
      <c r="M103" s="12" t="str">
        <f t="shared" si="5"/>
        <v>Rated</v>
      </c>
      <c r="N103" s="12" t="str">
        <f t="shared" si="9"/>
        <v>Neutral</v>
      </c>
      <c r="O103" s="2" t="str">
        <f t="shared" si="6"/>
        <v>1 Day</v>
      </c>
      <c r="P103" s="2" t="str">
        <f t="shared" si="7"/>
        <v>SLA met</v>
      </c>
    </row>
    <row r="104" spans="1:16" ht="15.75" customHeight="1" x14ac:dyDescent="0.35">
      <c r="A104" s="2" t="s">
        <v>265</v>
      </c>
      <c r="B104" s="4" t="s">
        <v>266</v>
      </c>
      <c r="C104" s="2" t="s">
        <v>24</v>
      </c>
      <c r="D104" s="2" t="s">
        <v>14</v>
      </c>
      <c r="E104" s="2" t="s">
        <v>81</v>
      </c>
      <c r="F104" s="2">
        <v>3.1</v>
      </c>
      <c r="G104" s="2" t="s">
        <v>16</v>
      </c>
      <c r="H104" s="9">
        <v>2.7</v>
      </c>
      <c r="I104" s="9">
        <v>23.3</v>
      </c>
      <c r="J104" s="2"/>
      <c r="K104" s="2" t="s">
        <v>17</v>
      </c>
      <c r="L104" s="19" t="str">
        <f t="shared" si="8"/>
        <v>June</v>
      </c>
      <c r="M104" s="12" t="str">
        <f t="shared" si="5"/>
        <v>Not Rated</v>
      </c>
      <c r="N104" s="12" t="str">
        <f t="shared" si="9"/>
        <v>Not Rated</v>
      </c>
      <c r="O104" s="2" t="str">
        <f t="shared" si="6"/>
        <v>1 Day</v>
      </c>
      <c r="P104" s="2" t="str">
        <f t="shared" si="7"/>
        <v>SLA met</v>
      </c>
    </row>
    <row r="105" spans="1:16" ht="15.75" customHeight="1" x14ac:dyDescent="0.35">
      <c r="A105" s="2" t="s">
        <v>267</v>
      </c>
      <c r="B105" s="4" t="s">
        <v>268</v>
      </c>
      <c r="C105" s="2" t="s">
        <v>24</v>
      </c>
      <c r="D105" s="2" t="s">
        <v>45</v>
      </c>
      <c r="E105" s="2" t="s">
        <v>124</v>
      </c>
      <c r="F105" s="2">
        <v>3.1</v>
      </c>
      <c r="G105" s="2" t="s">
        <v>30</v>
      </c>
      <c r="H105" s="9">
        <v>7.5</v>
      </c>
      <c r="I105" s="9">
        <v>49.8</v>
      </c>
      <c r="J105" s="2">
        <v>4</v>
      </c>
      <c r="K105" s="2" t="s">
        <v>17</v>
      </c>
      <c r="L105" s="19" t="str">
        <f t="shared" si="8"/>
        <v>June</v>
      </c>
      <c r="M105" s="12" t="str">
        <f t="shared" si="5"/>
        <v>Rated</v>
      </c>
      <c r="N105" s="12" t="str">
        <f t="shared" si="9"/>
        <v>Satisfied</v>
      </c>
      <c r="O105" s="2" t="str">
        <f t="shared" si="6"/>
        <v>More than 2 days</v>
      </c>
      <c r="P105" s="2" t="str">
        <f t="shared" si="7"/>
        <v>Failed to meet SLA</v>
      </c>
    </row>
    <row r="106" spans="1:16" ht="15.75" customHeight="1" x14ac:dyDescent="0.35">
      <c r="A106" s="2" t="s">
        <v>269</v>
      </c>
      <c r="B106" s="4" t="s">
        <v>270</v>
      </c>
      <c r="C106" s="2" t="s">
        <v>13</v>
      </c>
      <c r="D106" s="2" t="s">
        <v>33</v>
      </c>
      <c r="E106" s="2" t="s">
        <v>127</v>
      </c>
      <c r="F106" s="2">
        <v>3.1</v>
      </c>
      <c r="G106" s="2" t="s">
        <v>16</v>
      </c>
      <c r="H106" s="9">
        <v>1.1000000000000001</v>
      </c>
      <c r="I106" s="9">
        <v>4.8</v>
      </c>
      <c r="J106" s="2">
        <v>3</v>
      </c>
      <c r="K106" s="2" t="s">
        <v>17</v>
      </c>
      <c r="L106" s="19" t="str">
        <f t="shared" si="8"/>
        <v>June</v>
      </c>
      <c r="M106" s="12" t="str">
        <f t="shared" si="5"/>
        <v>Rated</v>
      </c>
      <c r="N106" s="12" t="str">
        <f t="shared" si="9"/>
        <v>Neutral</v>
      </c>
      <c r="O106" s="2" t="str">
        <f t="shared" si="6"/>
        <v>1 Day</v>
      </c>
      <c r="P106" s="2" t="str">
        <f t="shared" si="7"/>
        <v>SLA met</v>
      </c>
    </row>
    <row r="107" spans="1:16" ht="15.75" customHeight="1" x14ac:dyDescent="0.35">
      <c r="A107" s="2" t="s">
        <v>271</v>
      </c>
      <c r="B107" s="4" t="s">
        <v>272</v>
      </c>
      <c r="C107" s="2" t="s">
        <v>24</v>
      </c>
      <c r="D107" s="2" t="s">
        <v>45</v>
      </c>
      <c r="E107" s="2" t="s">
        <v>178</v>
      </c>
      <c r="F107" s="2">
        <v>3.1</v>
      </c>
      <c r="G107" s="2" t="s">
        <v>16</v>
      </c>
      <c r="H107" s="9">
        <v>11.5</v>
      </c>
      <c r="I107" s="9">
        <v>58.4</v>
      </c>
      <c r="J107" s="2"/>
      <c r="K107" s="2" t="s">
        <v>17</v>
      </c>
      <c r="L107" s="19" t="str">
        <f t="shared" si="8"/>
        <v>June</v>
      </c>
      <c r="M107" s="12" t="str">
        <f t="shared" si="5"/>
        <v>Not Rated</v>
      </c>
      <c r="N107" s="12" t="str">
        <f t="shared" si="9"/>
        <v>Not Rated</v>
      </c>
      <c r="O107" s="2" t="str">
        <f t="shared" si="6"/>
        <v>More than 2 days</v>
      </c>
      <c r="P107" s="2" t="str">
        <f t="shared" si="7"/>
        <v>Failed to meet SLA</v>
      </c>
    </row>
    <row r="108" spans="1:16" ht="15.75" customHeight="1" x14ac:dyDescent="0.35">
      <c r="A108" s="2" t="s">
        <v>273</v>
      </c>
      <c r="B108" s="4" t="s">
        <v>274</v>
      </c>
      <c r="C108" s="2" t="s">
        <v>13</v>
      </c>
      <c r="D108" s="2" t="s">
        <v>45</v>
      </c>
      <c r="E108" s="2" t="s">
        <v>124</v>
      </c>
      <c r="F108" s="2">
        <v>3.1</v>
      </c>
      <c r="G108" s="2" t="s">
        <v>30</v>
      </c>
      <c r="H108" s="9">
        <v>0.9</v>
      </c>
      <c r="I108" s="9">
        <v>53.3</v>
      </c>
      <c r="J108" s="2">
        <v>5</v>
      </c>
      <c r="K108" s="2" t="s">
        <v>17</v>
      </c>
      <c r="L108" s="19" t="str">
        <f t="shared" si="8"/>
        <v>June</v>
      </c>
      <c r="M108" s="12" t="str">
        <f t="shared" si="5"/>
        <v>Rated</v>
      </c>
      <c r="N108" s="12" t="str">
        <f t="shared" si="9"/>
        <v>Satisfied</v>
      </c>
      <c r="O108" s="2" t="str">
        <f t="shared" si="6"/>
        <v>More than 2 days</v>
      </c>
      <c r="P108" s="2" t="str">
        <f t="shared" si="7"/>
        <v>SLA met</v>
      </c>
    </row>
    <row r="109" spans="1:16" ht="15.75" customHeight="1" x14ac:dyDescent="0.35">
      <c r="A109" s="2" t="s">
        <v>275</v>
      </c>
      <c r="B109" s="4" t="s">
        <v>276</v>
      </c>
      <c r="C109" s="2" t="s">
        <v>13</v>
      </c>
      <c r="D109" s="2" t="s">
        <v>14</v>
      </c>
      <c r="E109" s="2" t="s">
        <v>208</v>
      </c>
      <c r="F109" s="2">
        <v>3.1</v>
      </c>
      <c r="G109" s="2" t="s">
        <v>30</v>
      </c>
      <c r="H109" s="9">
        <v>0.9</v>
      </c>
      <c r="I109" s="9">
        <v>26.2</v>
      </c>
      <c r="J109" s="2"/>
      <c r="K109" s="2" t="s">
        <v>17</v>
      </c>
      <c r="L109" s="19" t="str">
        <f t="shared" si="8"/>
        <v>June</v>
      </c>
      <c r="M109" s="12" t="str">
        <f t="shared" si="5"/>
        <v>Not Rated</v>
      </c>
      <c r="N109" s="12" t="str">
        <f t="shared" si="9"/>
        <v>Not Rated</v>
      </c>
      <c r="O109" s="2" t="str">
        <f t="shared" si="6"/>
        <v>2 Days</v>
      </c>
      <c r="P109" s="2" t="str">
        <f t="shared" si="7"/>
        <v>SLA met</v>
      </c>
    </row>
    <row r="110" spans="1:16" ht="15.75" customHeight="1" x14ac:dyDescent="0.35">
      <c r="A110" s="2" t="s">
        <v>277</v>
      </c>
      <c r="B110" s="4" t="s">
        <v>278</v>
      </c>
      <c r="C110" s="2" t="s">
        <v>24</v>
      </c>
      <c r="D110" s="2" t="s">
        <v>33</v>
      </c>
      <c r="E110" s="2" t="s">
        <v>127</v>
      </c>
      <c r="F110" s="2">
        <v>3.1</v>
      </c>
      <c r="G110" s="2" t="s">
        <v>16</v>
      </c>
      <c r="H110" s="9">
        <v>13.8</v>
      </c>
      <c r="I110" s="9">
        <v>14.7</v>
      </c>
      <c r="J110" s="2"/>
      <c r="K110" s="2" t="s">
        <v>17</v>
      </c>
      <c r="L110" s="19" t="str">
        <f t="shared" si="8"/>
        <v>June</v>
      </c>
      <c r="M110" s="12" t="str">
        <f t="shared" si="5"/>
        <v>Not Rated</v>
      </c>
      <c r="N110" s="12" t="str">
        <f t="shared" si="9"/>
        <v>Not Rated</v>
      </c>
      <c r="O110" s="2" t="str">
        <f t="shared" si="6"/>
        <v>1 Day</v>
      </c>
      <c r="P110" s="2" t="str">
        <f t="shared" si="7"/>
        <v>Failed to meet SLA</v>
      </c>
    </row>
    <row r="111" spans="1:16" ht="15.75" customHeight="1" x14ac:dyDescent="0.35">
      <c r="A111" s="2" t="s">
        <v>279</v>
      </c>
      <c r="B111" s="4" t="s">
        <v>280</v>
      </c>
      <c r="C111" s="2" t="s">
        <v>24</v>
      </c>
      <c r="D111" s="2" t="s">
        <v>52</v>
      </c>
      <c r="E111" s="2" t="s">
        <v>173</v>
      </c>
      <c r="F111" s="2">
        <v>3.1</v>
      </c>
      <c r="G111" s="2" t="s">
        <v>16</v>
      </c>
      <c r="H111" s="9">
        <v>4.0999999999999996</v>
      </c>
      <c r="I111" s="9">
        <v>12.8</v>
      </c>
      <c r="J111" s="2">
        <v>3</v>
      </c>
      <c r="K111" s="2" t="s">
        <v>17</v>
      </c>
      <c r="L111" s="19" t="str">
        <f t="shared" si="8"/>
        <v>June</v>
      </c>
      <c r="M111" s="12" t="str">
        <f t="shared" si="5"/>
        <v>Rated</v>
      </c>
      <c r="N111" s="12" t="str">
        <f t="shared" si="9"/>
        <v>Neutral</v>
      </c>
      <c r="O111" s="2" t="str">
        <f t="shared" si="6"/>
        <v>1 Day</v>
      </c>
      <c r="P111" s="2" t="str">
        <f t="shared" si="7"/>
        <v>SLA met</v>
      </c>
    </row>
    <row r="112" spans="1:16" ht="15.75" customHeight="1" x14ac:dyDescent="0.35">
      <c r="A112" s="2" t="s">
        <v>281</v>
      </c>
      <c r="B112" s="4" t="s">
        <v>282</v>
      </c>
      <c r="C112" s="2" t="s">
        <v>13</v>
      </c>
      <c r="D112" s="2" t="s">
        <v>14</v>
      </c>
      <c r="E112" s="2" t="s">
        <v>56</v>
      </c>
      <c r="F112" s="2">
        <v>3.1</v>
      </c>
      <c r="G112" s="2" t="s">
        <v>30</v>
      </c>
      <c r="H112" s="9">
        <v>0.5</v>
      </c>
      <c r="I112" s="9">
        <v>20.399999999999999</v>
      </c>
      <c r="J112" s="2">
        <v>2</v>
      </c>
      <c r="K112" s="2" t="s">
        <v>17</v>
      </c>
      <c r="L112" s="19" t="str">
        <f t="shared" si="8"/>
        <v>June</v>
      </c>
      <c r="M112" s="12" t="str">
        <f t="shared" si="5"/>
        <v>Rated</v>
      </c>
      <c r="N112" s="12" t="str">
        <f t="shared" si="9"/>
        <v>Dissatisfied</v>
      </c>
      <c r="O112" s="2" t="str">
        <f t="shared" si="6"/>
        <v>1 Day</v>
      </c>
      <c r="P112" s="2" t="str">
        <f t="shared" si="7"/>
        <v>SLA met</v>
      </c>
    </row>
    <row r="113" spans="1:16" ht="15.75" customHeight="1" x14ac:dyDescent="0.35">
      <c r="A113" s="2" t="s">
        <v>283</v>
      </c>
      <c r="B113" s="4" t="s">
        <v>284</v>
      </c>
      <c r="C113" s="2" t="s">
        <v>13</v>
      </c>
      <c r="D113" s="2" t="s">
        <v>14</v>
      </c>
      <c r="E113" s="2" t="s">
        <v>56</v>
      </c>
      <c r="F113" s="2">
        <v>3.1</v>
      </c>
      <c r="G113" s="2" t="s">
        <v>16</v>
      </c>
      <c r="H113" s="9">
        <v>2.4</v>
      </c>
      <c r="I113" s="9">
        <v>4.5</v>
      </c>
      <c r="J113" s="2"/>
      <c r="K113" s="2" t="s">
        <v>17</v>
      </c>
      <c r="L113" s="19" t="str">
        <f t="shared" si="8"/>
        <v>June</v>
      </c>
      <c r="M113" s="12" t="str">
        <f t="shared" si="5"/>
        <v>Not Rated</v>
      </c>
      <c r="N113" s="12" t="str">
        <f t="shared" si="9"/>
        <v>Not Rated</v>
      </c>
      <c r="O113" s="2" t="str">
        <f t="shared" si="6"/>
        <v>1 Day</v>
      </c>
      <c r="P113" s="2" t="str">
        <f t="shared" si="7"/>
        <v>SLA met</v>
      </c>
    </row>
    <row r="114" spans="1:16" ht="15.75" customHeight="1" x14ac:dyDescent="0.35">
      <c r="A114" s="2" t="s">
        <v>285</v>
      </c>
      <c r="B114" s="4" t="s">
        <v>286</v>
      </c>
      <c r="C114" s="2" t="s">
        <v>24</v>
      </c>
      <c r="D114" s="2" t="s">
        <v>41</v>
      </c>
      <c r="E114" s="2" t="s">
        <v>152</v>
      </c>
      <c r="F114" s="2">
        <v>3.1</v>
      </c>
      <c r="G114" s="2" t="s">
        <v>16</v>
      </c>
      <c r="H114" s="9">
        <v>1.1000000000000001</v>
      </c>
      <c r="I114" s="9">
        <v>25.1</v>
      </c>
      <c r="J114" s="2">
        <v>1</v>
      </c>
      <c r="K114" s="2" t="s">
        <v>17</v>
      </c>
      <c r="L114" s="19" t="str">
        <f t="shared" si="8"/>
        <v>June</v>
      </c>
      <c r="M114" s="12" t="str">
        <f t="shared" si="5"/>
        <v>Rated</v>
      </c>
      <c r="N114" s="12" t="str">
        <f t="shared" si="9"/>
        <v>Dissatisfied</v>
      </c>
      <c r="O114" s="2" t="str">
        <f t="shared" si="6"/>
        <v>2 Days</v>
      </c>
      <c r="P114" s="2" t="str">
        <f t="shared" si="7"/>
        <v>SLA met</v>
      </c>
    </row>
    <row r="115" spans="1:16" ht="15.75" customHeight="1" x14ac:dyDescent="0.35">
      <c r="A115" s="2" t="s">
        <v>287</v>
      </c>
      <c r="B115" s="4" t="s">
        <v>288</v>
      </c>
      <c r="C115" s="2" t="s">
        <v>24</v>
      </c>
      <c r="D115" s="2" t="s">
        <v>28</v>
      </c>
      <c r="E115" s="2" t="s">
        <v>168</v>
      </c>
      <c r="F115" s="2">
        <v>3.1</v>
      </c>
      <c r="G115" s="2" t="s">
        <v>16</v>
      </c>
      <c r="H115" s="9">
        <v>12.1</v>
      </c>
      <c r="I115" s="9">
        <v>7.1</v>
      </c>
      <c r="J115" s="2">
        <v>5</v>
      </c>
      <c r="K115" s="2" t="s">
        <v>17</v>
      </c>
      <c r="L115" s="19" t="str">
        <f t="shared" si="8"/>
        <v>June</v>
      </c>
      <c r="M115" s="12" t="str">
        <f t="shared" si="5"/>
        <v>Rated</v>
      </c>
      <c r="N115" s="12" t="str">
        <f t="shared" si="9"/>
        <v>Satisfied</v>
      </c>
      <c r="O115" s="2" t="str">
        <f t="shared" si="6"/>
        <v>1 Day</v>
      </c>
      <c r="P115" s="2" t="str">
        <f t="shared" si="7"/>
        <v>Failed to meet SLA</v>
      </c>
    </row>
    <row r="116" spans="1:16" ht="15.75" customHeight="1" x14ac:dyDescent="0.35">
      <c r="A116" s="2" t="s">
        <v>289</v>
      </c>
      <c r="B116" s="4" t="s">
        <v>290</v>
      </c>
      <c r="C116" s="2" t="s">
        <v>13</v>
      </c>
      <c r="D116" s="2" t="s">
        <v>14</v>
      </c>
      <c r="E116" s="2" t="s">
        <v>208</v>
      </c>
      <c r="F116" s="2">
        <v>3.1</v>
      </c>
      <c r="G116" s="2" t="s">
        <v>16</v>
      </c>
      <c r="H116" s="9">
        <v>1.4</v>
      </c>
      <c r="I116" s="9">
        <v>25.4</v>
      </c>
      <c r="J116" s="2">
        <v>3</v>
      </c>
      <c r="K116" s="2" t="s">
        <v>17</v>
      </c>
      <c r="L116" s="19" t="str">
        <f t="shared" si="8"/>
        <v>June</v>
      </c>
      <c r="M116" s="12" t="str">
        <f t="shared" si="5"/>
        <v>Rated</v>
      </c>
      <c r="N116" s="12" t="str">
        <f t="shared" si="9"/>
        <v>Neutral</v>
      </c>
      <c r="O116" s="2" t="str">
        <f t="shared" si="6"/>
        <v>2 Days</v>
      </c>
      <c r="P116" s="2" t="str">
        <f t="shared" si="7"/>
        <v>SLA met</v>
      </c>
    </row>
    <row r="117" spans="1:16" ht="15.75" customHeight="1" x14ac:dyDescent="0.35">
      <c r="A117" s="2" t="s">
        <v>291</v>
      </c>
      <c r="B117" s="4" t="s">
        <v>292</v>
      </c>
      <c r="C117" s="2" t="s">
        <v>24</v>
      </c>
      <c r="D117" s="2" t="s">
        <v>28</v>
      </c>
      <c r="E117" s="2" t="s">
        <v>29</v>
      </c>
      <c r="F117" s="2">
        <v>3.1</v>
      </c>
      <c r="G117" s="2" t="s">
        <v>16</v>
      </c>
      <c r="H117" s="9">
        <v>6.6</v>
      </c>
      <c r="I117" s="9">
        <v>16</v>
      </c>
      <c r="J117" s="2"/>
      <c r="K117" s="2" t="s">
        <v>17</v>
      </c>
      <c r="L117" s="19" t="str">
        <f t="shared" si="8"/>
        <v>June</v>
      </c>
      <c r="M117" s="12" t="str">
        <f t="shared" si="5"/>
        <v>Not Rated</v>
      </c>
      <c r="N117" s="12" t="str">
        <f t="shared" si="9"/>
        <v>Not Rated</v>
      </c>
      <c r="O117" s="2" t="str">
        <f t="shared" si="6"/>
        <v>1 Day</v>
      </c>
      <c r="P117" s="2" t="str">
        <f t="shared" si="7"/>
        <v>Failed to meet SLA</v>
      </c>
    </row>
    <row r="118" spans="1:16" ht="15.75" customHeight="1" x14ac:dyDescent="0.35">
      <c r="A118" s="2" t="s">
        <v>293</v>
      </c>
      <c r="B118" s="4" t="s">
        <v>294</v>
      </c>
      <c r="C118" s="2" t="s">
        <v>24</v>
      </c>
      <c r="D118" s="2" t="s">
        <v>41</v>
      </c>
      <c r="E118" s="2" t="s">
        <v>187</v>
      </c>
      <c r="F118" s="2">
        <v>3.1</v>
      </c>
      <c r="G118" s="2" t="s">
        <v>16</v>
      </c>
      <c r="H118" s="9">
        <v>12.8</v>
      </c>
      <c r="I118" s="9">
        <v>25.6</v>
      </c>
      <c r="J118" s="2">
        <v>3</v>
      </c>
      <c r="K118" s="2" t="s">
        <v>17</v>
      </c>
      <c r="L118" s="19" t="str">
        <f t="shared" si="8"/>
        <v>June</v>
      </c>
      <c r="M118" s="12" t="str">
        <f t="shared" si="5"/>
        <v>Rated</v>
      </c>
      <c r="N118" s="12" t="str">
        <f t="shared" si="9"/>
        <v>Neutral</v>
      </c>
      <c r="O118" s="2" t="str">
        <f t="shared" si="6"/>
        <v>2 Days</v>
      </c>
      <c r="P118" s="2" t="str">
        <f t="shared" si="7"/>
        <v>Failed to meet SLA</v>
      </c>
    </row>
    <row r="119" spans="1:16" ht="15.75" customHeight="1" x14ac:dyDescent="0.35">
      <c r="A119" s="2" t="s">
        <v>295</v>
      </c>
      <c r="B119" s="4" t="s">
        <v>296</v>
      </c>
      <c r="C119" s="2" t="s">
        <v>13</v>
      </c>
      <c r="D119" s="2" t="s">
        <v>75</v>
      </c>
      <c r="E119" s="2" t="s">
        <v>76</v>
      </c>
      <c r="F119" s="2">
        <v>3.1</v>
      </c>
      <c r="G119" s="2" t="s">
        <v>30</v>
      </c>
      <c r="H119" s="9">
        <v>1.7</v>
      </c>
      <c r="I119" s="9">
        <v>16.8</v>
      </c>
      <c r="J119" s="2">
        <v>5</v>
      </c>
      <c r="K119" s="2" t="s">
        <v>17</v>
      </c>
      <c r="L119" s="19" t="str">
        <f t="shared" si="8"/>
        <v>June</v>
      </c>
      <c r="M119" s="12" t="str">
        <f t="shared" si="5"/>
        <v>Rated</v>
      </c>
      <c r="N119" s="12" t="str">
        <f t="shared" si="9"/>
        <v>Satisfied</v>
      </c>
      <c r="O119" s="2" t="str">
        <f t="shared" si="6"/>
        <v>1 Day</v>
      </c>
      <c r="P119" s="2" t="str">
        <f t="shared" si="7"/>
        <v>SLA met</v>
      </c>
    </row>
    <row r="120" spans="1:16" ht="15.75" customHeight="1" x14ac:dyDescent="0.35">
      <c r="A120" s="2" t="s">
        <v>297</v>
      </c>
      <c r="B120" s="4" t="s">
        <v>298</v>
      </c>
      <c r="C120" s="2" t="s">
        <v>13</v>
      </c>
      <c r="D120" s="2" t="s">
        <v>33</v>
      </c>
      <c r="E120" s="2" t="s">
        <v>34</v>
      </c>
      <c r="F120" s="2">
        <v>3.1</v>
      </c>
      <c r="G120" s="2" t="s">
        <v>30</v>
      </c>
      <c r="H120" s="9">
        <v>2.4</v>
      </c>
      <c r="I120" s="9">
        <v>15.9</v>
      </c>
      <c r="J120" s="2"/>
      <c r="K120" s="2" t="s">
        <v>17</v>
      </c>
      <c r="L120" s="19" t="str">
        <f t="shared" si="8"/>
        <v>June</v>
      </c>
      <c r="M120" s="12" t="str">
        <f t="shared" si="5"/>
        <v>Not Rated</v>
      </c>
      <c r="N120" s="12" t="str">
        <f t="shared" si="9"/>
        <v>Not Rated</v>
      </c>
      <c r="O120" s="2" t="str">
        <f t="shared" si="6"/>
        <v>1 Day</v>
      </c>
      <c r="P120" s="2" t="str">
        <f t="shared" si="7"/>
        <v>SLA met</v>
      </c>
    </row>
    <row r="121" spans="1:16" ht="15.75" customHeight="1" x14ac:dyDescent="0.35">
      <c r="A121" s="2" t="s">
        <v>299</v>
      </c>
      <c r="B121" s="4" t="s">
        <v>300</v>
      </c>
      <c r="C121" s="2" t="s">
        <v>13</v>
      </c>
      <c r="D121" s="2" t="s">
        <v>28</v>
      </c>
      <c r="E121" s="2" t="s">
        <v>168</v>
      </c>
      <c r="F121" s="2">
        <v>3.1</v>
      </c>
      <c r="G121" s="2" t="s">
        <v>30</v>
      </c>
      <c r="H121" s="9">
        <v>1.1000000000000001</v>
      </c>
      <c r="I121" s="9">
        <v>9</v>
      </c>
      <c r="J121" s="2"/>
      <c r="K121" s="2" t="s">
        <v>17</v>
      </c>
      <c r="L121" s="19" t="str">
        <f t="shared" si="8"/>
        <v>June</v>
      </c>
      <c r="M121" s="12" t="str">
        <f t="shared" si="5"/>
        <v>Not Rated</v>
      </c>
      <c r="N121" s="12" t="str">
        <f t="shared" si="9"/>
        <v>Not Rated</v>
      </c>
      <c r="O121" s="2" t="str">
        <f t="shared" si="6"/>
        <v>1 Day</v>
      </c>
      <c r="P121" s="2" t="str">
        <f t="shared" si="7"/>
        <v>SLA met</v>
      </c>
    </row>
    <row r="122" spans="1:16" ht="15.75" customHeight="1" x14ac:dyDescent="0.35">
      <c r="A122" s="2" t="s">
        <v>301</v>
      </c>
      <c r="B122" s="4" t="s">
        <v>302</v>
      </c>
      <c r="C122" s="2" t="s">
        <v>24</v>
      </c>
      <c r="D122" s="2" t="s">
        <v>20</v>
      </c>
      <c r="E122" s="2" t="s">
        <v>21</v>
      </c>
      <c r="F122" s="2">
        <v>3.2</v>
      </c>
      <c r="G122" s="2" t="s">
        <v>16</v>
      </c>
      <c r="H122" s="9">
        <v>11.7</v>
      </c>
      <c r="I122" s="9">
        <v>13.6</v>
      </c>
      <c r="J122" s="2">
        <v>3</v>
      </c>
      <c r="K122" s="2" t="s">
        <v>17</v>
      </c>
      <c r="L122" s="19" t="str">
        <f t="shared" si="8"/>
        <v>June</v>
      </c>
      <c r="M122" s="12" t="str">
        <f t="shared" si="5"/>
        <v>Rated</v>
      </c>
      <c r="N122" s="12" t="str">
        <f t="shared" si="9"/>
        <v>Neutral</v>
      </c>
      <c r="O122" s="2" t="str">
        <f t="shared" si="6"/>
        <v>1 Day</v>
      </c>
      <c r="P122" s="2" t="str">
        <f t="shared" si="7"/>
        <v>Failed to meet SLA</v>
      </c>
    </row>
    <row r="123" spans="1:16" ht="15.75" customHeight="1" x14ac:dyDescent="0.35">
      <c r="A123" s="2" t="s">
        <v>303</v>
      </c>
      <c r="B123" s="4" t="s">
        <v>304</v>
      </c>
      <c r="C123" s="2" t="s">
        <v>24</v>
      </c>
      <c r="D123" s="2" t="s">
        <v>52</v>
      </c>
      <c r="E123" s="2" t="s">
        <v>90</v>
      </c>
      <c r="F123" s="2">
        <v>3.2</v>
      </c>
      <c r="G123" s="2" t="s">
        <v>30</v>
      </c>
      <c r="H123" s="9">
        <v>4.9000000000000004</v>
      </c>
      <c r="I123" s="9">
        <v>29.4</v>
      </c>
      <c r="J123" s="2"/>
      <c r="K123" s="2" t="s">
        <v>17</v>
      </c>
      <c r="L123" s="19" t="str">
        <f t="shared" si="8"/>
        <v>June</v>
      </c>
      <c r="M123" s="12" t="str">
        <f t="shared" si="5"/>
        <v>Not Rated</v>
      </c>
      <c r="N123" s="12" t="str">
        <f t="shared" si="9"/>
        <v>Not Rated</v>
      </c>
      <c r="O123" s="2" t="str">
        <f t="shared" si="6"/>
        <v>2 Days</v>
      </c>
      <c r="P123" s="2" t="str">
        <f t="shared" si="7"/>
        <v>SLA met</v>
      </c>
    </row>
    <row r="124" spans="1:16" ht="15.75" customHeight="1" x14ac:dyDescent="0.35">
      <c r="A124" s="2" t="s">
        <v>305</v>
      </c>
      <c r="B124" s="4" t="s">
        <v>306</v>
      </c>
      <c r="C124" s="2" t="s">
        <v>13</v>
      </c>
      <c r="D124" s="2" t="s">
        <v>33</v>
      </c>
      <c r="E124" s="2" t="s">
        <v>84</v>
      </c>
      <c r="F124" s="2">
        <v>3.2</v>
      </c>
      <c r="G124" s="2" t="s">
        <v>16</v>
      </c>
      <c r="H124" s="9">
        <v>2.2000000000000002</v>
      </c>
      <c r="I124" s="9">
        <v>25.4</v>
      </c>
      <c r="J124" s="2">
        <v>5</v>
      </c>
      <c r="K124" s="2" t="s">
        <v>17</v>
      </c>
      <c r="L124" s="19" t="str">
        <f t="shared" si="8"/>
        <v>June</v>
      </c>
      <c r="M124" s="12" t="str">
        <f t="shared" si="5"/>
        <v>Rated</v>
      </c>
      <c r="N124" s="12" t="str">
        <f t="shared" si="9"/>
        <v>Satisfied</v>
      </c>
      <c r="O124" s="2" t="str">
        <f t="shared" si="6"/>
        <v>2 Days</v>
      </c>
      <c r="P124" s="2" t="str">
        <f t="shared" si="7"/>
        <v>SLA met</v>
      </c>
    </row>
    <row r="125" spans="1:16" ht="15.75" customHeight="1" x14ac:dyDescent="0.35">
      <c r="A125" s="2" t="s">
        <v>307</v>
      </c>
      <c r="B125" s="4" t="s">
        <v>308</v>
      </c>
      <c r="C125" s="2" t="s">
        <v>13</v>
      </c>
      <c r="D125" s="2" t="s">
        <v>41</v>
      </c>
      <c r="E125" s="2" t="s">
        <v>42</v>
      </c>
      <c r="F125" s="2">
        <v>3.1</v>
      </c>
      <c r="G125" s="2" t="s">
        <v>16</v>
      </c>
      <c r="H125" s="9">
        <v>1.5</v>
      </c>
      <c r="I125" s="9">
        <v>64</v>
      </c>
      <c r="J125" s="2">
        <v>4</v>
      </c>
      <c r="K125" s="2" t="s">
        <v>17</v>
      </c>
      <c r="L125" s="19" t="str">
        <f t="shared" si="8"/>
        <v>June</v>
      </c>
      <c r="M125" s="12" t="str">
        <f t="shared" si="5"/>
        <v>Rated</v>
      </c>
      <c r="N125" s="12" t="str">
        <f t="shared" si="9"/>
        <v>Satisfied</v>
      </c>
      <c r="O125" s="2" t="str">
        <f t="shared" si="6"/>
        <v>More than 2 days</v>
      </c>
      <c r="P125" s="2" t="str">
        <f t="shared" si="7"/>
        <v>SLA met</v>
      </c>
    </row>
    <row r="126" spans="1:16" ht="15.75" customHeight="1" x14ac:dyDescent="0.35">
      <c r="A126" s="2" t="s">
        <v>309</v>
      </c>
      <c r="B126" s="4" t="s">
        <v>310</v>
      </c>
      <c r="C126" s="2" t="s">
        <v>24</v>
      </c>
      <c r="D126" s="2" t="s">
        <v>28</v>
      </c>
      <c r="E126" s="2" t="s">
        <v>168</v>
      </c>
      <c r="F126" s="2">
        <v>3.2</v>
      </c>
      <c r="G126" s="2" t="s">
        <v>16</v>
      </c>
      <c r="H126" s="9">
        <v>4.0999999999999996</v>
      </c>
      <c r="I126" s="9">
        <v>17.5</v>
      </c>
      <c r="J126" s="2"/>
      <c r="K126" s="2" t="s">
        <v>17</v>
      </c>
      <c r="L126" s="19" t="str">
        <f t="shared" si="8"/>
        <v>June</v>
      </c>
      <c r="M126" s="12" t="str">
        <f t="shared" si="5"/>
        <v>Not Rated</v>
      </c>
      <c r="N126" s="12" t="str">
        <f t="shared" si="9"/>
        <v>Not Rated</v>
      </c>
      <c r="O126" s="2" t="str">
        <f t="shared" si="6"/>
        <v>1 Day</v>
      </c>
      <c r="P126" s="2" t="str">
        <f t="shared" si="7"/>
        <v>SLA met</v>
      </c>
    </row>
    <row r="127" spans="1:16" ht="15.75" customHeight="1" x14ac:dyDescent="0.35">
      <c r="A127" s="2" t="s">
        <v>311</v>
      </c>
      <c r="B127" s="4" t="s">
        <v>312</v>
      </c>
      <c r="C127" s="2" t="s">
        <v>24</v>
      </c>
      <c r="D127" s="2" t="s">
        <v>52</v>
      </c>
      <c r="E127" s="2" t="s">
        <v>173</v>
      </c>
      <c r="F127" s="2">
        <v>3.2</v>
      </c>
      <c r="G127" s="2" t="s">
        <v>16</v>
      </c>
      <c r="H127" s="9">
        <v>7.9</v>
      </c>
      <c r="I127" s="9">
        <v>45.5</v>
      </c>
      <c r="J127" s="2"/>
      <c r="K127" s="2" t="s">
        <v>17</v>
      </c>
      <c r="L127" s="19" t="str">
        <f t="shared" si="8"/>
        <v>June</v>
      </c>
      <c r="M127" s="12" t="str">
        <f t="shared" si="5"/>
        <v>Not Rated</v>
      </c>
      <c r="N127" s="12" t="str">
        <f t="shared" si="9"/>
        <v>Not Rated</v>
      </c>
      <c r="O127" s="2" t="str">
        <f t="shared" si="6"/>
        <v>2 Days</v>
      </c>
      <c r="P127" s="2" t="str">
        <f t="shared" si="7"/>
        <v>Failed to meet SLA</v>
      </c>
    </row>
    <row r="128" spans="1:16" ht="15.75" customHeight="1" x14ac:dyDescent="0.35">
      <c r="A128" s="2" t="s">
        <v>313</v>
      </c>
      <c r="B128" s="4" t="s">
        <v>314</v>
      </c>
      <c r="C128" s="2" t="s">
        <v>24</v>
      </c>
      <c r="D128" s="2" t="s">
        <v>41</v>
      </c>
      <c r="E128" s="2" t="s">
        <v>42</v>
      </c>
      <c r="F128" s="2">
        <v>3.2</v>
      </c>
      <c r="G128" s="2" t="s">
        <v>16</v>
      </c>
      <c r="H128" s="9">
        <v>5.7</v>
      </c>
      <c r="I128" s="9">
        <v>71.599999999999994</v>
      </c>
      <c r="J128" s="2">
        <v>3</v>
      </c>
      <c r="K128" s="2" t="s">
        <v>17</v>
      </c>
      <c r="L128" s="19" t="str">
        <f t="shared" si="8"/>
        <v>June</v>
      </c>
      <c r="M128" s="12" t="str">
        <f t="shared" si="5"/>
        <v>Rated</v>
      </c>
      <c r="N128" s="12" t="str">
        <f t="shared" si="9"/>
        <v>Neutral</v>
      </c>
      <c r="O128" s="2" t="str">
        <f t="shared" si="6"/>
        <v>More than 2 days</v>
      </c>
      <c r="P128" s="2" t="str">
        <f t="shared" si="7"/>
        <v>SLA met</v>
      </c>
    </row>
    <row r="129" spans="1:16" ht="15.75" customHeight="1" x14ac:dyDescent="0.35">
      <c r="A129" s="2" t="s">
        <v>315</v>
      </c>
      <c r="B129" s="4" t="s">
        <v>316</v>
      </c>
      <c r="C129" s="2" t="s">
        <v>24</v>
      </c>
      <c r="D129" s="2" t="s">
        <v>33</v>
      </c>
      <c r="E129" s="2" t="s">
        <v>205</v>
      </c>
      <c r="F129" s="2">
        <v>3.2</v>
      </c>
      <c r="G129" s="2" t="s">
        <v>30</v>
      </c>
      <c r="H129" s="9">
        <v>2.5</v>
      </c>
      <c r="I129" s="9">
        <v>25.7</v>
      </c>
      <c r="J129" s="2">
        <v>4</v>
      </c>
      <c r="K129" s="2" t="s">
        <v>17</v>
      </c>
      <c r="L129" s="19" t="str">
        <f t="shared" si="8"/>
        <v>June</v>
      </c>
      <c r="M129" s="12" t="str">
        <f t="shared" si="5"/>
        <v>Rated</v>
      </c>
      <c r="N129" s="12" t="str">
        <f t="shared" si="9"/>
        <v>Satisfied</v>
      </c>
      <c r="O129" s="2" t="str">
        <f t="shared" si="6"/>
        <v>2 Days</v>
      </c>
      <c r="P129" s="2" t="str">
        <f t="shared" si="7"/>
        <v>SLA met</v>
      </c>
    </row>
    <row r="130" spans="1:16" ht="15.75" customHeight="1" x14ac:dyDescent="0.35">
      <c r="A130" s="2" t="s">
        <v>317</v>
      </c>
      <c r="B130" s="4" t="s">
        <v>318</v>
      </c>
      <c r="C130" s="2" t="s">
        <v>13</v>
      </c>
      <c r="D130" s="2" t="s">
        <v>52</v>
      </c>
      <c r="E130" s="2" t="s">
        <v>173</v>
      </c>
      <c r="F130" s="2">
        <v>3.1</v>
      </c>
      <c r="G130" s="2" t="s">
        <v>16</v>
      </c>
      <c r="H130" s="9">
        <v>1.2</v>
      </c>
      <c r="I130" s="9">
        <v>30.4</v>
      </c>
      <c r="J130" s="2">
        <v>4</v>
      </c>
      <c r="K130" s="2" t="s">
        <v>17</v>
      </c>
      <c r="L130" s="19" t="str">
        <f t="shared" si="8"/>
        <v>June</v>
      </c>
      <c r="M130" s="12" t="str">
        <f t="shared" ref="M130:M193" si="10">IF(ISBLANK(J130), "Not Rated", "Rated")</f>
        <v>Rated</v>
      </c>
      <c r="N130" s="12" t="str">
        <f t="shared" si="9"/>
        <v>Satisfied</v>
      </c>
      <c r="O130" s="2" t="str">
        <f t="shared" ref="O130:O193" si="11">IF(I130&lt;=24,"1 Day",IF(I130&gt;48,"More than 2 days", "2 Days"))</f>
        <v>2 Days</v>
      </c>
      <c r="P130" s="2" t="str">
        <f t="shared" ref="P130:P193" si="12">IF(H130&lt;=6, "SLA met","Failed to meet SLA")</f>
        <v>SLA met</v>
      </c>
    </row>
    <row r="131" spans="1:16" ht="15.75" customHeight="1" x14ac:dyDescent="0.35">
      <c r="A131" s="2" t="s">
        <v>319</v>
      </c>
      <c r="B131" s="4" t="s">
        <v>320</v>
      </c>
      <c r="C131" s="2" t="s">
        <v>24</v>
      </c>
      <c r="D131" s="2" t="s">
        <v>14</v>
      </c>
      <c r="E131" s="2" t="s">
        <v>25</v>
      </c>
      <c r="F131" s="2">
        <v>3.2</v>
      </c>
      <c r="G131" s="2" t="s">
        <v>30</v>
      </c>
      <c r="H131" s="9">
        <v>11.8</v>
      </c>
      <c r="I131" s="9">
        <v>14</v>
      </c>
      <c r="J131" s="2">
        <v>2</v>
      </c>
      <c r="K131" s="2" t="s">
        <v>17</v>
      </c>
      <c r="L131" s="19" t="str">
        <f t="shared" ref="L131:L194" si="13">TEXT(B131,"mmmm")</f>
        <v>June</v>
      </c>
      <c r="M131" s="12" t="str">
        <f t="shared" si="10"/>
        <v>Rated</v>
      </c>
      <c r="N131" s="12" t="str">
        <f t="shared" ref="N131:N194" si="14">IF(J131&gt;=4, "Satisfied", IF(J131=3, "Neutral",IF(J131&gt;=1,"Dissatisfied", "Not Rated")))</f>
        <v>Dissatisfied</v>
      </c>
      <c r="O131" s="2" t="str">
        <f t="shared" si="11"/>
        <v>1 Day</v>
      </c>
      <c r="P131" s="2" t="str">
        <f t="shared" si="12"/>
        <v>Failed to meet SLA</v>
      </c>
    </row>
    <row r="132" spans="1:16" ht="15.75" customHeight="1" x14ac:dyDescent="0.35">
      <c r="A132" s="2" t="s">
        <v>321</v>
      </c>
      <c r="B132" s="4" t="s">
        <v>322</v>
      </c>
      <c r="C132" s="2" t="s">
        <v>13</v>
      </c>
      <c r="D132" s="2" t="s">
        <v>52</v>
      </c>
      <c r="E132" s="2" t="s">
        <v>323</v>
      </c>
      <c r="F132" s="2">
        <v>3.2</v>
      </c>
      <c r="G132" s="2" t="s">
        <v>16</v>
      </c>
      <c r="H132" s="9">
        <v>2</v>
      </c>
      <c r="I132" s="9">
        <v>22.2</v>
      </c>
      <c r="J132" s="2">
        <v>3</v>
      </c>
      <c r="K132" s="2" t="s">
        <v>17</v>
      </c>
      <c r="L132" s="19" t="str">
        <f t="shared" si="13"/>
        <v>June</v>
      </c>
      <c r="M132" s="12" t="str">
        <f t="shared" si="10"/>
        <v>Rated</v>
      </c>
      <c r="N132" s="12" t="str">
        <f t="shared" si="14"/>
        <v>Neutral</v>
      </c>
      <c r="O132" s="2" t="str">
        <f t="shared" si="11"/>
        <v>1 Day</v>
      </c>
      <c r="P132" s="2" t="str">
        <f t="shared" si="12"/>
        <v>SLA met</v>
      </c>
    </row>
    <row r="133" spans="1:16" ht="15.75" customHeight="1" x14ac:dyDescent="0.35">
      <c r="A133" s="2" t="s">
        <v>324</v>
      </c>
      <c r="B133" s="4" t="s">
        <v>325</v>
      </c>
      <c r="C133" s="2" t="s">
        <v>13</v>
      </c>
      <c r="D133" s="2" t="s">
        <v>14</v>
      </c>
      <c r="E133" s="2" t="s">
        <v>25</v>
      </c>
      <c r="F133" s="2">
        <v>3.2</v>
      </c>
      <c r="G133" s="2" t="s">
        <v>16</v>
      </c>
      <c r="H133" s="9">
        <v>0.1</v>
      </c>
      <c r="I133" s="9">
        <v>24.1</v>
      </c>
      <c r="J133" s="2"/>
      <c r="K133" s="2" t="s">
        <v>17</v>
      </c>
      <c r="L133" s="19" t="str">
        <f t="shared" si="13"/>
        <v>June</v>
      </c>
      <c r="M133" s="12" t="str">
        <f t="shared" si="10"/>
        <v>Not Rated</v>
      </c>
      <c r="N133" s="12" t="str">
        <f t="shared" si="14"/>
        <v>Not Rated</v>
      </c>
      <c r="O133" s="2" t="str">
        <f t="shared" si="11"/>
        <v>2 Days</v>
      </c>
      <c r="P133" s="2" t="str">
        <f t="shared" si="12"/>
        <v>SLA met</v>
      </c>
    </row>
    <row r="134" spans="1:16" ht="15.75" customHeight="1" x14ac:dyDescent="0.35">
      <c r="A134" s="2" t="s">
        <v>326</v>
      </c>
      <c r="B134" s="4" t="s">
        <v>327</v>
      </c>
      <c r="C134" s="2" t="s">
        <v>13</v>
      </c>
      <c r="D134" s="2" t="s">
        <v>75</v>
      </c>
      <c r="E134" s="2" t="s">
        <v>241</v>
      </c>
      <c r="F134" s="2">
        <v>3.2</v>
      </c>
      <c r="G134" s="2" t="s">
        <v>16</v>
      </c>
      <c r="H134" s="9">
        <v>1.1000000000000001</v>
      </c>
      <c r="I134" s="9">
        <v>15.5</v>
      </c>
      <c r="J134" s="2">
        <v>3</v>
      </c>
      <c r="K134" s="2" t="s">
        <v>17</v>
      </c>
      <c r="L134" s="19" t="str">
        <f t="shared" si="13"/>
        <v>June</v>
      </c>
      <c r="M134" s="12" t="str">
        <f t="shared" si="10"/>
        <v>Rated</v>
      </c>
      <c r="N134" s="12" t="str">
        <f t="shared" si="14"/>
        <v>Neutral</v>
      </c>
      <c r="O134" s="2" t="str">
        <f t="shared" si="11"/>
        <v>1 Day</v>
      </c>
      <c r="P134" s="2" t="str">
        <f t="shared" si="12"/>
        <v>SLA met</v>
      </c>
    </row>
    <row r="135" spans="1:16" ht="15.75" customHeight="1" x14ac:dyDescent="0.35">
      <c r="A135" s="2" t="s">
        <v>328</v>
      </c>
      <c r="B135" s="4" t="s">
        <v>329</v>
      </c>
      <c r="C135" s="2" t="s">
        <v>24</v>
      </c>
      <c r="D135" s="2" t="s">
        <v>45</v>
      </c>
      <c r="E135" s="2" t="s">
        <v>66</v>
      </c>
      <c r="F135" s="2">
        <v>3.2</v>
      </c>
      <c r="G135" s="2" t="s">
        <v>30</v>
      </c>
      <c r="H135" s="9">
        <v>7.6</v>
      </c>
      <c r="I135" s="9">
        <v>19.399999999999999</v>
      </c>
      <c r="J135" s="2"/>
      <c r="K135" s="2" t="s">
        <v>17</v>
      </c>
      <c r="L135" s="19" t="str">
        <f t="shared" si="13"/>
        <v>June</v>
      </c>
      <c r="M135" s="12" t="str">
        <f t="shared" si="10"/>
        <v>Not Rated</v>
      </c>
      <c r="N135" s="12" t="str">
        <f t="shared" si="14"/>
        <v>Not Rated</v>
      </c>
      <c r="O135" s="2" t="str">
        <f t="shared" si="11"/>
        <v>1 Day</v>
      </c>
      <c r="P135" s="2" t="str">
        <f t="shared" si="12"/>
        <v>Failed to meet SLA</v>
      </c>
    </row>
    <row r="136" spans="1:16" ht="15.75" customHeight="1" x14ac:dyDescent="0.35">
      <c r="A136" s="2" t="s">
        <v>330</v>
      </c>
      <c r="B136" s="4" t="s">
        <v>331</v>
      </c>
      <c r="C136" s="2" t="s">
        <v>24</v>
      </c>
      <c r="D136" s="2" t="s">
        <v>75</v>
      </c>
      <c r="E136" s="2" t="s">
        <v>100</v>
      </c>
      <c r="F136" s="2">
        <v>3.2</v>
      </c>
      <c r="G136" s="2" t="s">
        <v>16</v>
      </c>
      <c r="H136" s="9">
        <v>12.8</v>
      </c>
      <c r="I136" s="9">
        <v>5.0999999999999996</v>
      </c>
      <c r="J136" s="2"/>
      <c r="K136" s="2" t="s">
        <v>17</v>
      </c>
      <c r="L136" s="19" t="str">
        <f t="shared" si="13"/>
        <v>June</v>
      </c>
      <c r="M136" s="12" t="str">
        <f t="shared" si="10"/>
        <v>Not Rated</v>
      </c>
      <c r="N136" s="12" t="str">
        <f t="shared" si="14"/>
        <v>Not Rated</v>
      </c>
      <c r="O136" s="2" t="str">
        <f t="shared" si="11"/>
        <v>1 Day</v>
      </c>
      <c r="P136" s="2" t="str">
        <f t="shared" si="12"/>
        <v>Failed to meet SLA</v>
      </c>
    </row>
    <row r="137" spans="1:16" ht="15.75" customHeight="1" x14ac:dyDescent="0.35">
      <c r="A137" s="2" t="s">
        <v>332</v>
      </c>
      <c r="B137" s="4" t="s">
        <v>333</v>
      </c>
      <c r="C137" s="2" t="s">
        <v>13</v>
      </c>
      <c r="D137" s="2" t="s">
        <v>52</v>
      </c>
      <c r="E137" s="2" t="s">
        <v>323</v>
      </c>
      <c r="F137" s="2">
        <v>3.2</v>
      </c>
      <c r="G137" s="2" t="s">
        <v>30</v>
      </c>
      <c r="H137" s="9">
        <v>1</v>
      </c>
      <c r="I137" s="9">
        <v>8.8000000000000007</v>
      </c>
      <c r="J137" s="2">
        <v>2</v>
      </c>
      <c r="K137" s="2" t="s">
        <v>17</v>
      </c>
      <c r="L137" s="19" t="str">
        <f t="shared" si="13"/>
        <v>June</v>
      </c>
      <c r="M137" s="12" t="str">
        <f t="shared" si="10"/>
        <v>Rated</v>
      </c>
      <c r="N137" s="12" t="str">
        <f t="shared" si="14"/>
        <v>Dissatisfied</v>
      </c>
      <c r="O137" s="2" t="str">
        <f t="shared" si="11"/>
        <v>1 Day</v>
      </c>
      <c r="P137" s="2" t="str">
        <f t="shared" si="12"/>
        <v>SLA met</v>
      </c>
    </row>
    <row r="138" spans="1:16" ht="15.75" customHeight="1" x14ac:dyDescent="0.35">
      <c r="A138" s="2" t="s">
        <v>334</v>
      </c>
      <c r="B138" s="4" t="s">
        <v>335</v>
      </c>
      <c r="C138" s="2" t="s">
        <v>13</v>
      </c>
      <c r="D138" s="2" t="s">
        <v>52</v>
      </c>
      <c r="E138" s="2" t="s">
        <v>53</v>
      </c>
      <c r="F138" s="2">
        <v>3.2</v>
      </c>
      <c r="G138" s="2" t="s">
        <v>16</v>
      </c>
      <c r="H138" s="9">
        <v>1.7</v>
      </c>
      <c r="I138" s="9">
        <v>30.5</v>
      </c>
      <c r="J138" s="2">
        <v>1</v>
      </c>
      <c r="K138" s="2" t="s">
        <v>17</v>
      </c>
      <c r="L138" s="19" t="str">
        <f t="shared" si="13"/>
        <v>June</v>
      </c>
      <c r="M138" s="12" t="str">
        <f t="shared" si="10"/>
        <v>Rated</v>
      </c>
      <c r="N138" s="12" t="str">
        <f t="shared" si="14"/>
        <v>Dissatisfied</v>
      </c>
      <c r="O138" s="2" t="str">
        <f t="shared" si="11"/>
        <v>2 Days</v>
      </c>
      <c r="P138" s="2" t="str">
        <f t="shared" si="12"/>
        <v>SLA met</v>
      </c>
    </row>
    <row r="139" spans="1:16" ht="15.75" customHeight="1" x14ac:dyDescent="0.35">
      <c r="A139" s="2" t="s">
        <v>336</v>
      </c>
      <c r="B139" s="4" t="s">
        <v>337</v>
      </c>
      <c r="C139" s="2" t="s">
        <v>13</v>
      </c>
      <c r="D139" s="2" t="s">
        <v>75</v>
      </c>
      <c r="E139" s="2" t="s">
        <v>241</v>
      </c>
      <c r="F139" s="2">
        <v>3.2</v>
      </c>
      <c r="G139" s="2" t="s">
        <v>16</v>
      </c>
      <c r="H139" s="9">
        <v>2.2999999999999998</v>
      </c>
      <c r="I139" s="9">
        <v>1.5</v>
      </c>
      <c r="J139" s="2">
        <v>5</v>
      </c>
      <c r="K139" s="2" t="s">
        <v>17</v>
      </c>
      <c r="L139" s="19" t="str">
        <f t="shared" si="13"/>
        <v>June</v>
      </c>
      <c r="M139" s="12" t="str">
        <f t="shared" si="10"/>
        <v>Rated</v>
      </c>
      <c r="N139" s="12" t="str">
        <f t="shared" si="14"/>
        <v>Satisfied</v>
      </c>
      <c r="O139" s="2" t="str">
        <f t="shared" si="11"/>
        <v>1 Day</v>
      </c>
      <c r="P139" s="2" t="str">
        <f t="shared" si="12"/>
        <v>SLA met</v>
      </c>
    </row>
    <row r="140" spans="1:16" ht="15.75" customHeight="1" x14ac:dyDescent="0.35">
      <c r="A140" s="2" t="s">
        <v>338</v>
      </c>
      <c r="B140" s="4" t="s">
        <v>339</v>
      </c>
      <c r="C140" s="2" t="s">
        <v>13</v>
      </c>
      <c r="D140" s="2" t="s">
        <v>20</v>
      </c>
      <c r="E140" s="2" t="s">
        <v>340</v>
      </c>
      <c r="F140" s="2">
        <v>3.2</v>
      </c>
      <c r="G140" s="2" t="s">
        <v>30</v>
      </c>
      <c r="H140" s="9">
        <v>1.7</v>
      </c>
      <c r="I140" s="9">
        <v>14.6</v>
      </c>
      <c r="J140" s="2"/>
      <c r="K140" s="2" t="s">
        <v>17</v>
      </c>
      <c r="L140" s="19" t="str">
        <f t="shared" si="13"/>
        <v>June</v>
      </c>
      <c r="M140" s="12" t="str">
        <f t="shared" si="10"/>
        <v>Not Rated</v>
      </c>
      <c r="N140" s="12" t="str">
        <f t="shared" si="14"/>
        <v>Not Rated</v>
      </c>
      <c r="O140" s="2" t="str">
        <f t="shared" si="11"/>
        <v>1 Day</v>
      </c>
      <c r="P140" s="2" t="str">
        <f t="shared" si="12"/>
        <v>SLA met</v>
      </c>
    </row>
    <row r="141" spans="1:16" ht="15.75" customHeight="1" x14ac:dyDescent="0.35">
      <c r="A141" s="2" t="s">
        <v>341</v>
      </c>
      <c r="B141" s="4" t="s">
        <v>342</v>
      </c>
      <c r="C141" s="2" t="s">
        <v>24</v>
      </c>
      <c r="D141" s="2" t="s">
        <v>14</v>
      </c>
      <c r="E141" s="2" t="s">
        <v>81</v>
      </c>
      <c r="F141" s="2">
        <v>3.2</v>
      </c>
      <c r="G141" s="2" t="s">
        <v>30</v>
      </c>
      <c r="H141" s="9">
        <v>4.3</v>
      </c>
      <c r="I141" s="9">
        <v>9.8000000000000007</v>
      </c>
      <c r="J141" s="2">
        <v>4</v>
      </c>
      <c r="K141" s="2" t="s">
        <v>17</v>
      </c>
      <c r="L141" s="19" t="str">
        <f t="shared" si="13"/>
        <v>June</v>
      </c>
      <c r="M141" s="12" t="str">
        <f t="shared" si="10"/>
        <v>Rated</v>
      </c>
      <c r="N141" s="12" t="str">
        <f t="shared" si="14"/>
        <v>Satisfied</v>
      </c>
      <c r="O141" s="2" t="str">
        <f t="shared" si="11"/>
        <v>1 Day</v>
      </c>
      <c r="P141" s="2" t="str">
        <f t="shared" si="12"/>
        <v>SLA met</v>
      </c>
    </row>
    <row r="142" spans="1:16" ht="15.75" customHeight="1" x14ac:dyDescent="0.35">
      <c r="A142" s="2" t="s">
        <v>343</v>
      </c>
      <c r="B142" s="4" t="s">
        <v>344</v>
      </c>
      <c r="C142" s="2" t="s">
        <v>24</v>
      </c>
      <c r="D142" s="2" t="s">
        <v>52</v>
      </c>
      <c r="E142" s="2" t="s">
        <v>323</v>
      </c>
      <c r="F142" s="2">
        <v>3.2</v>
      </c>
      <c r="G142" s="2" t="s">
        <v>30</v>
      </c>
      <c r="H142" s="9">
        <v>3.3</v>
      </c>
      <c r="I142" s="9">
        <v>19.600000000000001</v>
      </c>
      <c r="J142" s="2"/>
      <c r="K142" s="2" t="s">
        <v>17</v>
      </c>
      <c r="L142" s="19" t="str">
        <f t="shared" si="13"/>
        <v>June</v>
      </c>
      <c r="M142" s="12" t="str">
        <f t="shared" si="10"/>
        <v>Not Rated</v>
      </c>
      <c r="N142" s="12" t="str">
        <f t="shared" si="14"/>
        <v>Not Rated</v>
      </c>
      <c r="O142" s="2" t="str">
        <f t="shared" si="11"/>
        <v>1 Day</v>
      </c>
      <c r="P142" s="2" t="str">
        <f t="shared" si="12"/>
        <v>SLA met</v>
      </c>
    </row>
    <row r="143" spans="1:16" ht="15.75" customHeight="1" x14ac:dyDescent="0.35">
      <c r="A143" s="2" t="s">
        <v>345</v>
      </c>
      <c r="B143" s="4" t="s">
        <v>346</v>
      </c>
      <c r="C143" s="2" t="s">
        <v>13</v>
      </c>
      <c r="D143" s="2" t="s">
        <v>14</v>
      </c>
      <c r="E143" s="2" t="s">
        <v>208</v>
      </c>
      <c r="F143" s="2">
        <v>3.2</v>
      </c>
      <c r="G143" s="2" t="s">
        <v>30</v>
      </c>
      <c r="H143" s="9">
        <v>1.3</v>
      </c>
      <c r="I143" s="9">
        <v>15.3</v>
      </c>
      <c r="J143" s="2">
        <v>4</v>
      </c>
      <c r="K143" s="2" t="s">
        <v>17</v>
      </c>
      <c r="L143" s="19" t="str">
        <f t="shared" si="13"/>
        <v>June</v>
      </c>
      <c r="M143" s="12" t="str">
        <f t="shared" si="10"/>
        <v>Rated</v>
      </c>
      <c r="N143" s="12" t="str">
        <f t="shared" si="14"/>
        <v>Satisfied</v>
      </c>
      <c r="O143" s="2" t="str">
        <f t="shared" si="11"/>
        <v>1 Day</v>
      </c>
      <c r="P143" s="2" t="str">
        <f t="shared" si="12"/>
        <v>SLA met</v>
      </c>
    </row>
    <row r="144" spans="1:16" ht="15.75" customHeight="1" x14ac:dyDescent="0.35">
      <c r="A144" s="2" t="s">
        <v>347</v>
      </c>
      <c r="B144" s="4" t="s">
        <v>348</v>
      </c>
      <c r="C144" s="2" t="s">
        <v>13</v>
      </c>
      <c r="D144" s="2" t="s">
        <v>41</v>
      </c>
      <c r="E144" s="2" t="s">
        <v>152</v>
      </c>
      <c r="F144" s="2">
        <v>3.2</v>
      </c>
      <c r="G144" s="2" t="s">
        <v>30</v>
      </c>
      <c r="H144" s="9">
        <v>0.3</v>
      </c>
      <c r="I144" s="9">
        <v>61.9</v>
      </c>
      <c r="J144" s="2">
        <v>2</v>
      </c>
      <c r="K144" s="2" t="s">
        <v>17</v>
      </c>
      <c r="L144" s="19" t="str">
        <f t="shared" si="13"/>
        <v>June</v>
      </c>
      <c r="M144" s="12" t="str">
        <f t="shared" si="10"/>
        <v>Rated</v>
      </c>
      <c r="N144" s="12" t="str">
        <f t="shared" si="14"/>
        <v>Dissatisfied</v>
      </c>
      <c r="O144" s="2" t="str">
        <f t="shared" si="11"/>
        <v>More than 2 days</v>
      </c>
      <c r="P144" s="2" t="str">
        <f t="shared" si="12"/>
        <v>SLA met</v>
      </c>
    </row>
    <row r="145" spans="1:16" ht="15.75" customHeight="1" x14ac:dyDescent="0.35">
      <c r="A145" s="2" t="s">
        <v>349</v>
      </c>
      <c r="B145" s="4" t="s">
        <v>350</v>
      </c>
      <c r="C145" s="2" t="s">
        <v>13</v>
      </c>
      <c r="D145" s="2" t="s">
        <v>33</v>
      </c>
      <c r="E145" s="2" t="s">
        <v>205</v>
      </c>
      <c r="F145" s="2">
        <v>3.2</v>
      </c>
      <c r="G145" s="2" t="s">
        <v>30</v>
      </c>
      <c r="H145" s="9">
        <v>0.1</v>
      </c>
      <c r="I145" s="9">
        <v>19.100000000000001</v>
      </c>
      <c r="J145" s="2">
        <v>5</v>
      </c>
      <c r="K145" s="2" t="s">
        <v>17</v>
      </c>
      <c r="L145" s="19" t="str">
        <f t="shared" si="13"/>
        <v>June</v>
      </c>
      <c r="M145" s="12" t="str">
        <f t="shared" si="10"/>
        <v>Rated</v>
      </c>
      <c r="N145" s="12" t="str">
        <f t="shared" si="14"/>
        <v>Satisfied</v>
      </c>
      <c r="O145" s="2" t="str">
        <f t="shared" si="11"/>
        <v>1 Day</v>
      </c>
      <c r="P145" s="2" t="str">
        <f t="shared" si="12"/>
        <v>SLA met</v>
      </c>
    </row>
    <row r="146" spans="1:16" ht="15.75" customHeight="1" x14ac:dyDescent="0.35">
      <c r="A146" s="2" t="s">
        <v>351</v>
      </c>
      <c r="B146" s="4" t="s">
        <v>352</v>
      </c>
      <c r="C146" s="2" t="s">
        <v>13</v>
      </c>
      <c r="D146" s="2" t="s">
        <v>14</v>
      </c>
      <c r="E146" s="2" t="s">
        <v>81</v>
      </c>
      <c r="F146" s="2">
        <v>3.2</v>
      </c>
      <c r="G146" s="2" t="s">
        <v>16</v>
      </c>
      <c r="H146" s="9">
        <v>1.5</v>
      </c>
      <c r="I146" s="9">
        <v>29.8</v>
      </c>
      <c r="J146" s="2">
        <v>4</v>
      </c>
      <c r="K146" s="2" t="s">
        <v>17</v>
      </c>
      <c r="L146" s="19" t="str">
        <f t="shared" si="13"/>
        <v>June</v>
      </c>
      <c r="M146" s="12" t="str">
        <f t="shared" si="10"/>
        <v>Rated</v>
      </c>
      <c r="N146" s="12" t="str">
        <f t="shared" si="14"/>
        <v>Satisfied</v>
      </c>
      <c r="O146" s="2" t="str">
        <f t="shared" si="11"/>
        <v>2 Days</v>
      </c>
      <c r="P146" s="2" t="str">
        <f t="shared" si="12"/>
        <v>SLA met</v>
      </c>
    </row>
    <row r="147" spans="1:16" ht="15.75" customHeight="1" x14ac:dyDescent="0.35">
      <c r="A147" s="2" t="s">
        <v>353</v>
      </c>
      <c r="B147" s="4" t="s">
        <v>354</v>
      </c>
      <c r="C147" s="2" t="s">
        <v>24</v>
      </c>
      <c r="D147" s="2" t="s">
        <v>33</v>
      </c>
      <c r="E147" s="2" t="s">
        <v>84</v>
      </c>
      <c r="F147" s="2">
        <v>3.2</v>
      </c>
      <c r="G147" s="2" t="s">
        <v>30</v>
      </c>
      <c r="H147" s="9">
        <v>1.9</v>
      </c>
      <c r="I147" s="9">
        <v>7.1</v>
      </c>
      <c r="J147" s="2"/>
      <c r="K147" s="2" t="s">
        <v>17</v>
      </c>
      <c r="L147" s="19" t="str">
        <f t="shared" si="13"/>
        <v>June</v>
      </c>
      <c r="M147" s="12" t="str">
        <f t="shared" si="10"/>
        <v>Not Rated</v>
      </c>
      <c r="N147" s="12" t="str">
        <f t="shared" si="14"/>
        <v>Not Rated</v>
      </c>
      <c r="O147" s="2" t="str">
        <f t="shared" si="11"/>
        <v>1 Day</v>
      </c>
      <c r="P147" s="2" t="str">
        <f t="shared" si="12"/>
        <v>SLA met</v>
      </c>
    </row>
    <row r="148" spans="1:16" ht="15.75" customHeight="1" x14ac:dyDescent="0.35">
      <c r="A148" s="2" t="s">
        <v>355</v>
      </c>
      <c r="B148" s="4" t="s">
        <v>356</v>
      </c>
      <c r="C148" s="2" t="s">
        <v>13</v>
      </c>
      <c r="D148" s="2" t="s">
        <v>28</v>
      </c>
      <c r="E148" s="2" t="s">
        <v>168</v>
      </c>
      <c r="F148" s="2">
        <v>3.2</v>
      </c>
      <c r="G148" s="2" t="s">
        <v>30</v>
      </c>
      <c r="H148" s="9">
        <v>0.7</v>
      </c>
      <c r="I148" s="9">
        <v>3.6</v>
      </c>
      <c r="J148" s="2">
        <v>5</v>
      </c>
      <c r="K148" s="2" t="s">
        <v>17</v>
      </c>
      <c r="L148" s="19" t="str">
        <f t="shared" si="13"/>
        <v>June</v>
      </c>
      <c r="M148" s="12" t="str">
        <f t="shared" si="10"/>
        <v>Rated</v>
      </c>
      <c r="N148" s="12" t="str">
        <f t="shared" si="14"/>
        <v>Satisfied</v>
      </c>
      <c r="O148" s="2" t="str">
        <f t="shared" si="11"/>
        <v>1 Day</v>
      </c>
      <c r="P148" s="2" t="str">
        <f t="shared" si="12"/>
        <v>SLA met</v>
      </c>
    </row>
    <row r="149" spans="1:16" ht="15.75" customHeight="1" x14ac:dyDescent="0.35">
      <c r="A149" s="2" t="s">
        <v>357</v>
      </c>
      <c r="B149" s="4" t="s">
        <v>358</v>
      </c>
      <c r="C149" s="2" t="s">
        <v>24</v>
      </c>
      <c r="D149" s="2" t="s">
        <v>14</v>
      </c>
      <c r="E149" s="2" t="s">
        <v>208</v>
      </c>
      <c r="F149" s="2">
        <v>3.2</v>
      </c>
      <c r="G149" s="2" t="s">
        <v>16</v>
      </c>
      <c r="H149" s="9">
        <v>1.9</v>
      </c>
      <c r="I149" s="9">
        <v>12.5</v>
      </c>
      <c r="J149" s="2"/>
      <c r="K149" s="2" t="s">
        <v>17</v>
      </c>
      <c r="L149" s="19" t="str">
        <f t="shared" si="13"/>
        <v>June</v>
      </c>
      <c r="M149" s="12" t="str">
        <f t="shared" si="10"/>
        <v>Not Rated</v>
      </c>
      <c r="N149" s="12" t="str">
        <f t="shared" si="14"/>
        <v>Not Rated</v>
      </c>
      <c r="O149" s="2" t="str">
        <f t="shared" si="11"/>
        <v>1 Day</v>
      </c>
      <c r="P149" s="2" t="str">
        <f t="shared" si="12"/>
        <v>SLA met</v>
      </c>
    </row>
    <row r="150" spans="1:16" ht="15.75" customHeight="1" x14ac:dyDescent="0.35">
      <c r="A150" s="2" t="s">
        <v>359</v>
      </c>
      <c r="B150" s="4" t="s">
        <v>360</v>
      </c>
      <c r="C150" s="2" t="s">
        <v>24</v>
      </c>
      <c r="D150" s="2" t="s">
        <v>14</v>
      </c>
      <c r="E150" s="2" t="s">
        <v>15</v>
      </c>
      <c r="F150" s="2">
        <v>3.2</v>
      </c>
      <c r="G150" s="2" t="s">
        <v>30</v>
      </c>
      <c r="H150" s="9">
        <v>1.9</v>
      </c>
      <c r="I150" s="9">
        <v>27.2</v>
      </c>
      <c r="J150" s="2"/>
      <c r="K150" s="2" t="s">
        <v>17</v>
      </c>
      <c r="L150" s="19" t="str">
        <f t="shared" si="13"/>
        <v>June</v>
      </c>
      <c r="M150" s="12" t="str">
        <f t="shared" si="10"/>
        <v>Not Rated</v>
      </c>
      <c r="N150" s="12" t="str">
        <f t="shared" si="14"/>
        <v>Not Rated</v>
      </c>
      <c r="O150" s="2" t="str">
        <f t="shared" si="11"/>
        <v>2 Days</v>
      </c>
      <c r="P150" s="2" t="str">
        <f t="shared" si="12"/>
        <v>SLA met</v>
      </c>
    </row>
    <row r="151" spans="1:16" ht="15.75" customHeight="1" x14ac:dyDescent="0.35">
      <c r="A151" s="2" t="s">
        <v>361</v>
      </c>
      <c r="B151" s="4" t="s">
        <v>362</v>
      </c>
      <c r="C151" s="2" t="s">
        <v>13</v>
      </c>
      <c r="D151" s="2" t="s">
        <v>14</v>
      </c>
      <c r="E151" s="2" t="s">
        <v>208</v>
      </c>
      <c r="F151" s="2">
        <v>3.2</v>
      </c>
      <c r="G151" s="2" t="s">
        <v>16</v>
      </c>
      <c r="H151" s="9">
        <v>2.1</v>
      </c>
      <c r="I151" s="9">
        <v>14.8</v>
      </c>
      <c r="J151" s="2">
        <v>3</v>
      </c>
      <c r="K151" s="2" t="s">
        <v>17</v>
      </c>
      <c r="L151" s="19" t="str">
        <f t="shared" si="13"/>
        <v>June</v>
      </c>
      <c r="M151" s="12" t="str">
        <f t="shared" si="10"/>
        <v>Rated</v>
      </c>
      <c r="N151" s="12" t="str">
        <f t="shared" si="14"/>
        <v>Neutral</v>
      </c>
      <c r="O151" s="2" t="str">
        <f t="shared" si="11"/>
        <v>1 Day</v>
      </c>
      <c r="P151" s="2" t="str">
        <f t="shared" si="12"/>
        <v>SLA met</v>
      </c>
    </row>
    <row r="152" spans="1:16" ht="15.75" customHeight="1" x14ac:dyDescent="0.35">
      <c r="A152" s="2" t="s">
        <v>363</v>
      </c>
      <c r="B152" s="4" t="s">
        <v>364</v>
      </c>
      <c r="C152" s="2" t="s">
        <v>13</v>
      </c>
      <c r="D152" s="2" t="s">
        <v>52</v>
      </c>
      <c r="E152" s="2" t="s">
        <v>90</v>
      </c>
      <c r="F152" s="2">
        <v>3.2</v>
      </c>
      <c r="G152" s="2" t="s">
        <v>16</v>
      </c>
      <c r="H152" s="9">
        <v>1</v>
      </c>
      <c r="I152" s="9">
        <v>48.6</v>
      </c>
      <c r="J152" s="2"/>
      <c r="K152" s="2" t="s">
        <v>17</v>
      </c>
      <c r="L152" s="19" t="str">
        <f t="shared" si="13"/>
        <v>June</v>
      </c>
      <c r="M152" s="12" t="str">
        <f t="shared" si="10"/>
        <v>Not Rated</v>
      </c>
      <c r="N152" s="12" t="str">
        <f t="shared" si="14"/>
        <v>Not Rated</v>
      </c>
      <c r="O152" s="2" t="str">
        <f t="shared" si="11"/>
        <v>More than 2 days</v>
      </c>
      <c r="P152" s="2" t="str">
        <f t="shared" si="12"/>
        <v>SLA met</v>
      </c>
    </row>
    <row r="153" spans="1:16" ht="15.75" customHeight="1" x14ac:dyDescent="0.35">
      <c r="A153" s="2" t="s">
        <v>365</v>
      </c>
      <c r="B153" s="4" t="s">
        <v>366</v>
      </c>
      <c r="C153" s="2" t="s">
        <v>13</v>
      </c>
      <c r="D153" s="2" t="s">
        <v>52</v>
      </c>
      <c r="E153" s="2" t="s">
        <v>53</v>
      </c>
      <c r="F153" s="2">
        <v>3.2</v>
      </c>
      <c r="G153" s="2" t="s">
        <v>16</v>
      </c>
      <c r="H153" s="9">
        <v>1.6</v>
      </c>
      <c r="I153" s="9">
        <v>15.6</v>
      </c>
      <c r="J153" s="2"/>
      <c r="K153" s="2" t="s">
        <v>17</v>
      </c>
      <c r="L153" s="19" t="str">
        <f t="shared" si="13"/>
        <v>June</v>
      </c>
      <c r="M153" s="12" t="str">
        <f t="shared" si="10"/>
        <v>Not Rated</v>
      </c>
      <c r="N153" s="12" t="str">
        <f t="shared" si="14"/>
        <v>Not Rated</v>
      </c>
      <c r="O153" s="2" t="str">
        <f t="shared" si="11"/>
        <v>1 Day</v>
      </c>
      <c r="P153" s="2" t="str">
        <f t="shared" si="12"/>
        <v>SLA met</v>
      </c>
    </row>
    <row r="154" spans="1:16" ht="15.75" customHeight="1" x14ac:dyDescent="0.35">
      <c r="A154" s="2" t="s">
        <v>367</v>
      </c>
      <c r="B154" s="4" t="s">
        <v>368</v>
      </c>
      <c r="C154" s="2" t="s">
        <v>13</v>
      </c>
      <c r="D154" s="2" t="s">
        <v>20</v>
      </c>
      <c r="E154" s="2" t="s">
        <v>21</v>
      </c>
      <c r="F154" s="2">
        <v>3.1</v>
      </c>
      <c r="G154" s="2" t="s">
        <v>16</v>
      </c>
      <c r="H154" s="9">
        <v>0.4</v>
      </c>
      <c r="I154" s="9">
        <v>17.600000000000001</v>
      </c>
      <c r="J154" s="2">
        <v>3</v>
      </c>
      <c r="K154" s="2" t="s">
        <v>17</v>
      </c>
      <c r="L154" s="19" t="str">
        <f t="shared" si="13"/>
        <v>June</v>
      </c>
      <c r="M154" s="12" t="str">
        <f t="shared" si="10"/>
        <v>Rated</v>
      </c>
      <c r="N154" s="12" t="str">
        <f t="shared" si="14"/>
        <v>Neutral</v>
      </c>
      <c r="O154" s="2" t="str">
        <f t="shared" si="11"/>
        <v>1 Day</v>
      </c>
      <c r="P154" s="2" t="str">
        <f t="shared" si="12"/>
        <v>SLA met</v>
      </c>
    </row>
    <row r="155" spans="1:16" ht="15.75" customHeight="1" x14ac:dyDescent="0.35">
      <c r="A155" s="2" t="s">
        <v>369</v>
      </c>
      <c r="B155" s="4" t="s">
        <v>370</v>
      </c>
      <c r="C155" s="2" t="s">
        <v>24</v>
      </c>
      <c r="D155" s="2" t="s">
        <v>33</v>
      </c>
      <c r="E155" s="2" t="s">
        <v>34</v>
      </c>
      <c r="F155" s="2">
        <v>3.2</v>
      </c>
      <c r="G155" s="2" t="s">
        <v>16</v>
      </c>
      <c r="H155" s="9">
        <v>5.0999999999999996</v>
      </c>
      <c r="I155" s="9">
        <v>26.3</v>
      </c>
      <c r="J155" s="2">
        <v>4</v>
      </c>
      <c r="K155" s="2" t="s">
        <v>17</v>
      </c>
      <c r="L155" s="19" t="str">
        <f t="shared" si="13"/>
        <v>June</v>
      </c>
      <c r="M155" s="12" t="str">
        <f t="shared" si="10"/>
        <v>Rated</v>
      </c>
      <c r="N155" s="12" t="str">
        <f t="shared" si="14"/>
        <v>Satisfied</v>
      </c>
      <c r="O155" s="2" t="str">
        <f t="shared" si="11"/>
        <v>2 Days</v>
      </c>
      <c r="P155" s="2" t="str">
        <f t="shared" si="12"/>
        <v>SLA met</v>
      </c>
    </row>
    <row r="156" spans="1:16" ht="15.75" customHeight="1" x14ac:dyDescent="0.35">
      <c r="A156" s="2" t="s">
        <v>371</v>
      </c>
      <c r="B156" s="4" t="s">
        <v>372</v>
      </c>
      <c r="C156" s="2" t="s">
        <v>13</v>
      </c>
      <c r="D156" s="2" t="s">
        <v>52</v>
      </c>
      <c r="E156" s="2" t="s">
        <v>53</v>
      </c>
      <c r="F156" s="2">
        <v>3.2</v>
      </c>
      <c r="G156" s="2" t="s">
        <v>16</v>
      </c>
      <c r="H156" s="9">
        <v>0.1</v>
      </c>
      <c r="I156" s="9">
        <v>11.8</v>
      </c>
      <c r="J156" s="2">
        <v>2</v>
      </c>
      <c r="K156" s="2" t="s">
        <v>17</v>
      </c>
      <c r="L156" s="19" t="str">
        <f t="shared" si="13"/>
        <v>June</v>
      </c>
      <c r="M156" s="12" t="str">
        <f t="shared" si="10"/>
        <v>Rated</v>
      </c>
      <c r="N156" s="12" t="str">
        <f t="shared" si="14"/>
        <v>Dissatisfied</v>
      </c>
      <c r="O156" s="2" t="str">
        <f t="shared" si="11"/>
        <v>1 Day</v>
      </c>
      <c r="P156" s="2" t="str">
        <f t="shared" si="12"/>
        <v>SLA met</v>
      </c>
    </row>
    <row r="157" spans="1:16" ht="15.75" customHeight="1" x14ac:dyDescent="0.35">
      <c r="A157" s="2" t="s">
        <v>373</v>
      </c>
      <c r="B157" s="4" t="s">
        <v>374</v>
      </c>
      <c r="C157" s="2" t="s">
        <v>24</v>
      </c>
      <c r="D157" s="2" t="s">
        <v>45</v>
      </c>
      <c r="E157" s="2" t="s">
        <v>178</v>
      </c>
      <c r="F157" s="2">
        <v>3.2</v>
      </c>
      <c r="G157" s="2" t="s">
        <v>30</v>
      </c>
      <c r="H157" s="9">
        <v>5</v>
      </c>
      <c r="I157" s="9">
        <v>28</v>
      </c>
      <c r="J157" s="2">
        <v>4</v>
      </c>
      <c r="K157" s="2" t="s">
        <v>17</v>
      </c>
      <c r="L157" s="19" t="str">
        <f t="shared" si="13"/>
        <v>June</v>
      </c>
      <c r="M157" s="12" t="str">
        <f t="shared" si="10"/>
        <v>Rated</v>
      </c>
      <c r="N157" s="12" t="str">
        <f t="shared" si="14"/>
        <v>Satisfied</v>
      </c>
      <c r="O157" s="2" t="str">
        <f t="shared" si="11"/>
        <v>2 Days</v>
      </c>
      <c r="P157" s="2" t="str">
        <f t="shared" si="12"/>
        <v>SLA met</v>
      </c>
    </row>
    <row r="158" spans="1:16" ht="15.75" customHeight="1" x14ac:dyDescent="0.35">
      <c r="A158" s="2" t="s">
        <v>375</v>
      </c>
      <c r="B158" s="4" t="s">
        <v>376</v>
      </c>
      <c r="C158" s="2" t="s">
        <v>13</v>
      </c>
      <c r="D158" s="2" t="s">
        <v>28</v>
      </c>
      <c r="E158" s="2" t="s">
        <v>95</v>
      </c>
      <c r="F158" s="2">
        <v>3.2</v>
      </c>
      <c r="G158" s="2" t="s">
        <v>30</v>
      </c>
      <c r="H158" s="9">
        <v>0.3</v>
      </c>
      <c r="I158" s="9">
        <v>15.2</v>
      </c>
      <c r="J158" s="2"/>
      <c r="K158" s="2" t="s">
        <v>17</v>
      </c>
      <c r="L158" s="19" t="str">
        <f t="shared" si="13"/>
        <v>June</v>
      </c>
      <c r="M158" s="12" t="str">
        <f t="shared" si="10"/>
        <v>Not Rated</v>
      </c>
      <c r="N158" s="12" t="str">
        <f t="shared" si="14"/>
        <v>Not Rated</v>
      </c>
      <c r="O158" s="2" t="str">
        <f t="shared" si="11"/>
        <v>1 Day</v>
      </c>
      <c r="P158" s="2" t="str">
        <f t="shared" si="12"/>
        <v>SLA met</v>
      </c>
    </row>
    <row r="159" spans="1:16" ht="15.75" customHeight="1" x14ac:dyDescent="0.35">
      <c r="A159" s="2" t="s">
        <v>377</v>
      </c>
      <c r="B159" s="4" t="s">
        <v>378</v>
      </c>
      <c r="C159" s="2" t="s">
        <v>24</v>
      </c>
      <c r="D159" s="2" t="s">
        <v>14</v>
      </c>
      <c r="E159" s="2" t="s">
        <v>81</v>
      </c>
      <c r="F159" s="2">
        <v>3.2</v>
      </c>
      <c r="G159" s="2" t="s">
        <v>30</v>
      </c>
      <c r="H159" s="9">
        <v>3.7</v>
      </c>
      <c r="I159" s="9">
        <v>24</v>
      </c>
      <c r="J159" s="2"/>
      <c r="K159" s="2" t="s">
        <v>17</v>
      </c>
      <c r="L159" s="19" t="str">
        <f t="shared" si="13"/>
        <v>June</v>
      </c>
      <c r="M159" s="12" t="str">
        <f t="shared" si="10"/>
        <v>Not Rated</v>
      </c>
      <c r="N159" s="12" t="str">
        <f t="shared" si="14"/>
        <v>Not Rated</v>
      </c>
      <c r="O159" s="2" t="str">
        <f t="shared" si="11"/>
        <v>1 Day</v>
      </c>
      <c r="P159" s="2" t="str">
        <f t="shared" si="12"/>
        <v>SLA met</v>
      </c>
    </row>
    <row r="160" spans="1:16" ht="15.75" customHeight="1" x14ac:dyDescent="0.35">
      <c r="A160" s="2" t="s">
        <v>379</v>
      </c>
      <c r="B160" s="4" t="s">
        <v>380</v>
      </c>
      <c r="C160" s="2" t="s">
        <v>24</v>
      </c>
      <c r="D160" s="2" t="s">
        <v>28</v>
      </c>
      <c r="E160" s="2" t="s">
        <v>29</v>
      </c>
      <c r="F160" s="2">
        <v>3.2</v>
      </c>
      <c r="G160" s="2" t="s">
        <v>16</v>
      </c>
      <c r="H160" s="9">
        <v>5.0999999999999996</v>
      </c>
      <c r="I160" s="9">
        <v>8.6999999999999993</v>
      </c>
      <c r="J160" s="2"/>
      <c r="K160" s="2" t="s">
        <v>17</v>
      </c>
      <c r="L160" s="19" t="str">
        <f t="shared" si="13"/>
        <v>June</v>
      </c>
      <c r="M160" s="12" t="str">
        <f t="shared" si="10"/>
        <v>Not Rated</v>
      </c>
      <c r="N160" s="12" t="str">
        <f t="shared" si="14"/>
        <v>Not Rated</v>
      </c>
      <c r="O160" s="2" t="str">
        <f t="shared" si="11"/>
        <v>1 Day</v>
      </c>
      <c r="P160" s="2" t="str">
        <f t="shared" si="12"/>
        <v>SLA met</v>
      </c>
    </row>
    <row r="161" spans="1:16" ht="15.75" customHeight="1" x14ac:dyDescent="0.35">
      <c r="A161" s="2" t="s">
        <v>381</v>
      </c>
      <c r="B161" s="4" t="s">
        <v>382</v>
      </c>
      <c r="C161" s="2" t="s">
        <v>24</v>
      </c>
      <c r="D161" s="2" t="s">
        <v>52</v>
      </c>
      <c r="E161" s="2" t="s">
        <v>173</v>
      </c>
      <c r="F161" s="2">
        <v>3.2</v>
      </c>
      <c r="G161" s="2" t="s">
        <v>30</v>
      </c>
      <c r="H161" s="9">
        <v>3.7</v>
      </c>
      <c r="I161" s="9">
        <v>18.899999999999999</v>
      </c>
      <c r="J161" s="2">
        <v>2</v>
      </c>
      <c r="K161" s="2" t="s">
        <v>17</v>
      </c>
      <c r="L161" s="19" t="str">
        <f t="shared" si="13"/>
        <v>June</v>
      </c>
      <c r="M161" s="12" t="str">
        <f t="shared" si="10"/>
        <v>Rated</v>
      </c>
      <c r="N161" s="12" t="str">
        <f t="shared" si="14"/>
        <v>Dissatisfied</v>
      </c>
      <c r="O161" s="2" t="str">
        <f t="shared" si="11"/>
        <v>1 Day</v>
      </c>
      <c r="P161" s="2" t="str">
        <f t="shared" si="12"/>
        <v>SLA met</v>
      </c>
    </row>
    <row r="162" spans="1:16" ht="15.75" customHeight="1" x14ac:dyDescent="0.35">
      <c r="A162" s="2" t="s">
        <v>383</v>
      </c>
      <c r="B162" s="4" t="s">
        <v>384</v>
      </c>
      <c r="C162" s="2" t="s">
        <v>24</v>
      </c>
      <c r="D162" s="2" t="s">
        <v>45</v>
      </c>
      <c r="E162" s="2" t="s">
        <v>46</v>
      </c>
      <c r="F162" s="2">
        <v>3.2</v>
      </c>
      <c r="G162" s="2" t="s">
        <v>30</v>
      </c>
      <c r="H162" s="9">
        <v>9.6999999999999993</v>
      </c>
      <c r="I162" s="9">
        <v>26.9</v>
      </c>
      <c r="J162" s="2">
        <v>4</v>
      </c>
      <c r="K162" s="2" t="s">
        <v>17</v>
      </c>
      <c r="L162" s="19" t="str">
        <f t="shared" si="13"/>
        <v>June</v>
      </c>
      <c r="M162" s="12" t="str">
        <f t="shared" si="10"/>
        <v>Rated</v>
      </c>
      <c r="N162" s="12" t="str">
        <f t="shared" si="14"/>
        <v>Satisfied</v>
      </c>
      <c r="O162" s="2" t="str">
        <f t="shared" si="11"/>
        <v>2 Days</v>
      </c>
      <c r="P162" s="2" t="str">
        <f t="shared" si="12"/>
        <v>Failed to meet SLA</v>
      </c>
    </row>
    <row r="163" spans="1:16" ht="15.75" customHeight="1" x14ac:dyDescent="0.35">
      <c r="A163" s="2" t="s">
        <v>385</v>
      </c>
      <c r="B163" s="4" t="s">
        <v>386</v>
      </c>
      <c r="C163" s="2" t="s">
        <v>24</v>
      </c>
      <c r="D163" s="2" t="s">
        <v>33</v>
      </c>
      <c r="E163" s="2" t="s">
        <v>34</v>
      </c>
      <c r="F163" s="2">
        <v>3.2</v>
      </c>
      <c r="G163" s="2" t="s">
        <v>16</v>
      </c>
      <c r="H163" s="9">
        <v>8.3000000000000007</v>
      </c>
      <c r="I163" s="9">
        <v>24.7</v>
      </c>
      <c r="J163" s="2">
        <v>4</v>
      </c>
      <c r="K163" s="2" t="s">
        <v>17</v>
      </c>
      <c r="L163" s="19" t="str">
        <f t="shared" si="13"/>
        <v>June</v>
      </c>
      <c r="M163" s="12" t="str">
        <f t="shared" si="10"/>
        <v>Rated</v>
      </c>
      <c r="N163" s="12" t="str">
        <f t="shared" si="14"/>
        <v>Satisfied</v>
      </c>
      <c r="O163" s="2" t="str">
        <f t="shared" si="11"/>
        <v>2 Days</v>
      </c>
      <c r="P163" s="2" t="str">
        <f t="shared" si="12"/>
        <v>Failed to meet SLA</v>
      </c>
    </row>
    <row r="164" spans="1:16" ht="15.75" customHeight="1" x14ac:dyDescent="0.35">
      <c r="A164" s="2" t="s">
        <v>387</v>
      </c>
      <c r="B164" s="4" t="s">
        <v>388</v>
      </c>
      <c r="C164" s="2" t="s">
        <v>24</v>
      </c>
      <c r="D164" s="2" t="s">
        <v>52</v>
      </c>
      <c r="E164" s="2" t="s">
        <v>252</v>
      </c>
      <c r="F164" s="2">
        <v>3.2</v>
      </c>
      <c r="G164" s="2" t="s">
        <v>16</v>
      </c>
      <c r="H164" s="9">
        <v>11.8</v>
      </c>
      <c r="I164" s="9">
        <v>30.4</v>
      </c>
      <c r="J164" s="2"/>
      <c r="K164" s="2" t="s">
        <v>17</v>
      </c>
      <c r="L164" s="19" t="str">
        <f t="shared" si="13"/>
        <v>June</v>
      </c>
      <c r="M164" s="12" t="str">
        <f t="shared" si="10"/>
        <v>Not Rated</v>
      </c>
      <c r="N164" s="12" t="str">
        <f t="shared" si="14"/>
        <v>Not Rated</v>
      </c>
      <c r="O164" s="2" t="str">
        <f t="shared" si="11"/>
        <v>2 Days</v>
      </c>
      <c r="P164" s="2" t="str">
        <f t="shared" si="12"/>
        <v>Failed to meet SLA</v>
      </c>
    </row>
    <row r="165" spans="1:16" ht="15.75" customHeight="1" x14ac:dyDescent="0.35">
      <c r="A165" s="2" t="s">
        <v>389</v>
      </c>
      <c r="B165" s="4" t="s">
        <v>390</v>
      </c>
      <c r="C165" s="2" t="s">
        <v>24</v>
      </c>
      <c r="D165" s="2" t="s">
        <v>52</v>
      </c>
      <c r="E165" s="2" t="s">
        <v>252</v>
      </c>
      <c r="F165" s="2">
        <v>3.2</v>
      </c>
      <c r="G165" s="2" t="s">
        <v>30</v>
      </c>
      <c r="H165" s="9">
        <v>13.8</v>
      </c>
      <c r="I165" s="9">
        <v>54</v>
      </c>
      <c r="J165" s="2">
        <v>4</v>
      </c>
      <c r="K165" s="2" t="s">
        <v>17</v>
      </c>
      <c r="L165" s="19" t="str">
        <f t="shared" si="13"/>
        <v>June</v>
      </c>
      <c r="M165" s="12" t="str">
        <f t="shared" si="10"/>
        <v>Rated</v>
      </c>
      <c r="N165" s="12" t="str">
        <f t="shared" si="14"/>
        <v>Satisfied</v>
      </c>
      <c r="O165" s="2" t="str">
        <f t="shared" si="11"/>
        <v>More than 2 days</v>
      </c>
      <c r="P165" s="2" t="str">
        <f t="shared" si="12"/>
        <v>Failed to meet SLA</v>
      </c>
    </row>
    <row r="166" spans="1:16" ht="15.75" customHeight="1" x14ac:dyDescent="0.35">
      <c r="A166" s="2" t="s">
        <v>391</v>
      </c>
      <c r="B166" s="4" t="s">
        <v>392</v>
      </c>
      <c r="C166" s="2" t="s">
        <v>13</v>
      </c>
      <c r="D166" s="2" t="s">
        <v>45</v>
      </c>
      <c r="E166" s="2" t="s">
        <v>178</v>
      </c>
      <c r="F166" s="2">
        <v>3.1</v>
      </c>
      <c r="G166" s="2" t="s">
        <v>16</v>
      </c>
      <c r="H166" s="9">
        <v>0.5</v>
      </c>
      <c r="I166" s="9">
        <v>36.4</v>
      </c>
      <c r="J166" s="2"/>
      <c r="K166" s="2" t="s">
        <v>17</v>
      </c>
      <c r="L166" s="19" t="str">
        <f t="shared" si="13"/>
        <v>June</v>
      </c>
      <c r="M166" s="12" t="str">
        <f t="shared" si="10"/>
        <v>Not Rated</v>
      </c>
      <c r="N166" s="12" t="str">
        <f t="shared" si="14"/>
        <v>Not Rated</v>
      </c>
      <c r="O166" s="2" t="str">
        <f t="shared" si="11"/>
        <v>2 Days</v>
      </c>
      <c r="P166" s="2" t="str">
        <f t="shared" si="12"/>
        <v>SLA met</v>
      </c>
    </row>
    <row r="167" spans="1:16" ht="15.75" customHeight="1" x14ac:dyDescent="0.35">
      <c r="A167" s="2" t="s">
        <v>393</v>
      </c>
      <c r="B167" s="4" t="s">
        <v>394</v>
      </c>
      <c r="C167" s="2" t="s">
        <v>13</v>
      </c>
      <c r="D167" s="2" t="s">
        <v>28</v>
      </c>
      <c r="E167" s="2" t="s">
        <v>168</v>
      </c>
      <c r="F167" s="2">
        <v>3.2</v>
      </c>
      <c r="G167" s="2" t="s">
        <v>16</v>
      </c>
      <c r="H167" s="9">
        <v>1.8</v>
      </c>
      <c r="I167" s="9">
        <v>3.7</v>
      </c>
      <c r="J167" s="2">
        <v>4</v>
      </c>
      <c r="K167" s="2" t="s">
        <v>17</v>
      </c>
      <c r="L167" s="19" t="str">
        <f t="shared" si="13"/>
        <v>June</v>
      </c>
      <c r="M167" s="12" t="str">
        <f t="shared" si="10"/>
        <v>Rated</v>
      </c>
      <c r="N167" s="12" t="str">
        <f t="shared" si="14"/>
        <v>Satisfied</v>
      </c>
      <c r="O167" s="2" t="str">
        <f t="shared" si="11"/>
        <v>1 Day</v>
      </c>
      <c r="P167" s="2" t="str">
        <f t="shared" si="12"/>
        <v>SLA met</v>
      </c>
    </row>
    <row r="168" spans="1:16" ht="15.75" customHeight="1" x14ac:dyDescent="0.35">
      <c r="A168" s="2" t="s">
        <v>395</v>
      </c>
      <c r="B168" s="4" t="s">
        <v>396</v>
      </c>
      <c r="C168" s="2" t="s">
        <v>13</v>
      </c>
      <c r="D168" s="2" t="s">
        <v>52</v>
      </c>
      <c r="E168" s="2" t="s">
        <v>323</v>
      </c>
      <c r="F168" s="2">
        <v>3.2</v>
      </c>
      <c r="G168" s="2" t="s">
        <v>16</v>
      </c>
      <c r="H168" s="9">
        <v>2.4</v>
      </c>
      <c r="I168" s="9">
        <v>45</v>
      </c>
      <c r="J168" s="2">
        <v>2</v>
      </c>
      <c r="K168" s="2" t="s">
        <v>17</v>
      </c>
      <c r="L168" s="19" t="str">
        <f t="shared" si="13"/>
        <v>June</v>
      </c>
      <c r="M168" s="12" t="str">
        <f t="shared" si="10"/>
        <v>Rated</v>
      </c>
      <c r="N168" s="12" t="str">
        <f t="shared" si="14"/>
        <v>Dissatisfied</v>
      </c>
      <c r="O168" s="2" t="str">
        <f t="shared" si="11"/>
        <v>2 Days</v>
      </c>
      <c r="P168" s="2" t="str">
        <f t="shared" si="12"/>
        <v>SLA met</v>
      </c>
    </row>
    <row r="169" spans="1:16" ht="15.75" customHeight="1" x14ac:dyDescent="0.35">
      <c r="A169" s="2" t="s">
        <v>397</v>
      </c>
      <c r="B169" s="4" t="s">
        <v>398</v>
      </c>
      <c r="C169" s="2" t="s">
        <v>24</v>
      </c>
      <c r="D169" s="2" t="s">
        <v>45</v>
      </c>
      <c r="E169" s="2" t="s">
        <v>157</v>
      </c>
      <c r="F169" s="2">
        <v>3.2</v>
      </c>
      <c r="G169" s="2" t="s">
        <v>30</v>
      </c>
      <c r="H169" s="9">
        <v>12.2</v>
      </c>
      <c r="I169" s="9">
        <v>18.8</v>
      </c>
      <c r="J169" s="2"/>
      <c r="K169" s="2" t="s">
        <v>17</v>
      </c>
      <c r="L169" s="19" t="str">
        <f t="shared" si="13"/>
        <v>June</v>
      </c>
      <c r="M169" s="12" t="str">
        <f t="shared" si="10"/>
        <v>Not Rated</v>
      </c>
      <c r="N169" s="12" t="str">
        <f t="shared" si="14"/>
        <v>Not Rated</v>
      </c>
      <c r="O169" s="2" t="str">
        <f t="shared" si="11"/>
        <v>1 Day</v>
      </c>
      <c r="P169" s="2" t="str">
        <f t="shared" si="12"/>
        <v>Failed to meet SLA</v>
      </c>
    </row>
    <row r="170" spans="1:16" ht="15.75" customHeight="1" x14ac:dyDescent="0.35">
      <c r="A170" s="2" t="s">
        <v>399</v>
      </c>
      <c r="B170" s="4" t="s">
        <v>400</v>
      </c>
      <c r="C170" s="2" t="s">
        <v>24</v>
      </c>
      <c r="D170" s="2" t="s">
        <v>33</v>
      </c>
      <c r="E170" s="2" t="s">
        <v>127</v>
      </c>
      <c r="F170" s="2">
        <v>3.2</v>
      </c>
      <c r="G170" s="2" t="s">
        <v>30</v>
      </c>
      <c r="H170" s="9">
        <v>1.6</v>
      </c>
      <c r="I170" s="9">
        <v>23.6</v>
      </c>
      <c r="J170" s="2">
        <v>4</v>
      </c>
      <c r="K170" s="2" t="s">
        <v>17</v>
      </c>
      <c r="L170" s="19" t="str">
        <f t="shared" si="13"/>
        <v>June</v>
      </c>
      <c r="M170" s="12" t="str">
        <f t="shared" si="10"/>
        <v>Rated</v>
      </c>
      <c r="N170" s="12" t="str">
        <f t="shared" si="14"/>
        <v>Satisfied</v>
      </c>
      <c r="O170" s="2" t="str">
        <f t="shared" si="11"/>
        <v>1 Day</v>
      </c>
      <c r="P170" s="2" t="str">
        <f t="shared" si="12"/>
        <v>SLA met</v>
      </c>
    </row>
    <row r="171" spans="1:16" ht="15.75" customHeight="1" x14ac:dyDescent="0.35">
      <c r="A171" s="2" t="s">
        <v>401</v>
      </c>
      <c r="B171" s="4" t="s">
        <v>402</v>
      </c>
      <c r="C171" s="2" t="s">
        <v>13</v>
      </c>
      <c r="D171" s="2" t="s">
        <v>52</v>
      </c>
      <c r="E171" s="2" t="s">
        <v>252</v>
      </c>
      <c r="F171" s="2">
        <v>3.2</v>
      </c>
      <c r="G171" s="2" t="s">
        <v>30</v>
      </c>
      <c r="H171" s="9">
        <v>1.8</v>
      </c>
      <c r="I171" s="9">
        <v>47</v>
      </c>
      <c r="J171" s="2">
        <v>3</v>
      </c>
      <c r="K171" s="2" t="s">
        <v>17</v>
      </c>
      <c r="L171" s="19" t="str">
        <f t="shared" si="13"/>
        <v>June</v>
      </c>
      <c r="M171" s="12" t="str">
        <f t="shared" si="10"/>
        <v>Rated</v>
      </c>
      <c r="N171" s="12" t="str">
        <f t="shared" si="14"/>
        <v>Neutral</v>
      </c>
      <c r="O171" s="2" t="str">
        <f t="shared" si="11"/>
        <v>2 Days</v>
      </c>
      <c r="P171" s="2" t="str">
        <f t="shared" si="12"/>
        <v>SLA met</v>
      </c>
    </row>
    <row r="172" spans="1:16" ht="15.75" customHeight="1" x14ac:dyDescent="0.35">
      <c r="A172" s="2" t="s">
        <v>403</v>
      </c>
      <c r="B172" s="4" t="s">
        <v>404</v>
      </c>
      <c r="C172" s="2" t="s">
        <v>13</v>
      </c>
      <c r="D172" s="2" t="s">
        <v>14</v>
      </c>
      <c r="E172" s="2" t="s">
        <v>56</v>
      </c>
      <c r="F172" s="2">
        <v>3.2</v>
      </c>
      <c r="G172" s="2" t="s">
        <v>30</v>
      </c>
      <c r="H172" s="9">
        <v>0.1</v>
      </c>
      <c r="I172" s="9">
        <v>23.2</v>
      </c>
      <c r="J172" s="2">
        <v>3</v>
      </c>
      <c r="K172" s="2" t="s">
        <v>17</v>
      </c>
      <c r="L172" s="19" t="str">
        <f t="shared" si="13"/>
        <v>July</v>
      </c>
      <c r="M172" s="12" t="str">
        <f t="shared" si="10"/>
        <v>Rated</v>
      </c>
      <c r="N172" s="12" t="str">
        <f t="shared" si="14"/>
        <v>Neutral</v>
      </c>
      <c r="O172" s="2" t="str">
        <f t="shared" si="11"/>
        <v>1 Day</v>
      </c>
      <c r="P172" s="2" t="str">
        <f t="shared" si="12"/>
        <v>SLA met</v>
      </c>
    </row>
    <row r="173" spans="1:16" ht="15.75" customHeight="1" x14ac:dyDescent="0.35">
      <c r="A173" s="2" t="s">
        <v>405</v>
      </c>
      <c r="B173" s="4" t="s">
        <v>406</v>
      </c>
      <c r="C173" s="2" t="s">
        <v>13</v>
      </c>
      <c r="D173" s="2" t="s">
        <v>45</v>
      </c>
      <c r="E173" s="2" t="s">
        <v>178</v>
      </c>
      <c r="F173" s="2">
        <v>3.2</v>
      </c>
      <c r="G173" s="2" t="s">
        <v>16</v>
      </c>
      <c r="H173" s="9">
        <v>1.3</v>
      </c>
      <c r="I173" s="9">
        <v>58.8</v>
      </c>
      <c r="J173" s="2"/>
      <c r="K173" s="2" t="s">
        <v>17</v>
      </c>
      <c r="L173" s="19" t="str">
        <f t="shared" si="13"/>
        <v>July</v>
      </c>
      <c r="M173" s="12" t="str">
        <f t="shared" si="10"/>
        <v>Not Rated</v>
      </c>
      <c r="N173" s="12" t="str">
        <f t="shared" si="14"/>
        <v>Not Rated</v>
      </c>
      <c r="O173" s="2" t="str">
        <f t="shared" si="11"/>
        <v>More than 2 days</v>
      </c>
      <c r="P173" s="2" t="str">
        <f t="shared" si="12"/>
        <v>SLA met</v>
      </c>
    </row>
    <row r="174" spans="1:16" ht="15.75" customHeight="1" x14ac:dyDescent="0.35">
      <c r="A174" s="2" t="s">
        <v>407</v>
      </c>
      <c r="B174" s="4" t="s">
        <v>408</v>
      </c>
      <c r="C174" s="2" t="s">
        <v>13</v>
      </c>
      <c r="D174" s="2" t="s">
        <v>52</v>
      </c>
      <c r="E174" s="2" t="s">
        <v>323</v>
      </c>
      <c r="F174" s="2">
        <v>3.1</v>
      </c>
      <c r="G174" s="2" t="s">
        <v>30</v>
      </c>
      <c r="H174" s="9">
        <v>0.8</v>
      </c>
      <c r="I174" s="9">
        <v>33.1</v>
      </c>
      <c r="J174" s="2"/>
      <c r="K174" s="2" t="s">
        <v>17</v>
      </c>
      <c r="L174" s="19" t="str">
        <f t="shared" si="13"/>
        <v>July</v>
      </c>
      <c r="M174" s="12" t="str">
        <f t="shared" si="10"/>
        <v>Not Rated</v>
      </c>
      <c r="N174" s="12" t="str">
        <f t="shared" si="14"/>
        <v>Not Rated</v>
      </c>
      <c r="O174" s="2" t="str">
        <f t="shared" si="11"/>
        <v>2 Days</v>
      </c>
      <c r="P174" s="2" t="str">
        <f t="shared" si="12"/>
        <v>SLA met</v>
      </c>
    </row>
    <row r="175" spans="1:16" ht="15.75" customHeight="1" x14ac:dyDescent="0.35">
      <c r="A175" s="2" t="s">
        <v>409</v>
      </c>
      <c r="B175" s="4" t="s">
        <v>410</v>
      </c>
      <c r="C175" s="2" t="s">
        <v>13</v>
      </c>
      <c r="D175" s="2" t="s">
        <v>14</v>
      </c>
      <c r="E175" s="2" t="s">
        <v>81</v>
      </c>
      <c r="F175" s="2">
        <v>3.2</v>
      </c>
      <c r="G175" s="2" t="s">
        <v>30</v>
      </c>
      <c r="H175" s="9">
        <v>1.5</v>
      </c>
      <c r="I175" s="9">
        <v>25.4</v>
      </c>
      <c r="J175" s="2">
        <v>3</v>
      </c>
      <c r="K175" s="2" t="s">
        <v>17</v>
      </c>
      <c r="L175" s="19" t="str">
        <f t="shared" si="13"/>
        <v>July</v>
      </c>
      <c r="M175" s="12" t="str">
        <f t="shared" si="10"/>
        <v>Rated</v>
      </c>
      <c r="N175" s="12" t="str">
        <f t="shared" si="14"/>
        <v>Neutral</v>
      </c>
      <c r="O175" s="2" t="str">
        <f t="shared" si="11"/>
        <v>2 Days</v>
      </c>
      <c r="P175" s="2" t="str">
        <f t="shared" si="12"/>
        <v>SLA met</v>
      </c>
    </row>
    <row r="176" spans="1:16" ht="15.75" customHeight="1" x14ac:dyDescent="0.35">
      <c r="A176" s="2" t="s">
        <v>411</v>
      </c>
      <c r="B176" s="4" t="s">
        <v>412</v>
      </c>
      <c r="C176" s="2" t="s">
        <v>24</v>
      </c>
      <c r="D176" s="2" t="s">
        <v>52</v>
      </c>
      <c r="E176" s="2" t="s">
        <v>90</v>
      </c>
      <c r="F176" s="2">
        <v>3.2</v>
      </c>
      <c r="G176" s="2" t="s">
        <v>16</v>
      </c>
      <c r="H176" s="9">
        <v>12.5</v>
      </c>
      <c r="I176" s="9">
        <v>30.6</v>
      </c>
      <c r="J176" s="2">
        <v>2</v>
      </c>
      <c r="K176" s="2" t="s">
        <v>17</v>
      </c>
      <c r="L176" s="19" t="str">
        <f t="shared" si="13"/>
        <v>July</v>
      </c>
      <c r="M176" s="12" t="str">
        <f t="shared" si="10"/>
        <v>Rated</v>
      </c>
      <c r="N176" s="12" t="str">
        <f t="shared" si="14"/>
        <v>Dissatisfied</v>
      </c>
      <c r="O176" s="2" t="str">
        <f t="shared" si="11"/>
        <v>2 Days</v>
      </c>
      <c r="P176" s="2" t="str">
        <f t="shared" si="12"/>
        <v>Failed to meet SLA</v>
      </c>
    </row>
    <row r="177" spans="1:16" ht="15.75" customHeight="1" x14ac:dyDescent="0.35">
      <c r="A177" s="2" t="s">
        <v>413</v>
      </c>
      <c r="B177" s="4" t="s">
        <v>414</v>
      </c>
      <c r="C177" s="2" t="s">
        <v>24</v>
      </c>
      <c r="D177" s="2" t="s">
        <v>41</v>
      </c>
      <c r="E177" s="2" t="s">
        <v>152</v>
      </c>
      <c r="F177" s="2">
        <v>3.2</v>
      </c>
      <c r="G177" s="2" t="s">
        <v>16</v>
      </c>
      <c r="H177" s="9">
        <v>7.3</v>
      </c>
      <c r="I177" s="9">
        <v>66.7</v>
      </c>
      <c r="J177" s="2">
        <v>2</v>
      </c>
      <c r="K177" s="2" t="s">
        <v>17</v>
      </c>
      <c r="L177" s="19" t="str">
        <f t="shared" si="13"/>
        <v>July</v>
      </c>
      <c r="M177" s="12" t="str">
        <f t="shared" si="10"/>
        <v>Rated</v>
      </c>
      <c r="N177" s="12" t="str">
        <f t="shared" si="14"/>
        <v>Dissatisfied</v>
      </c>
      <c r="O177" s="2" t="str">
        <f t="shared" si="11"/>
        <v>More than 2 days</v>
      </c>
      <c r="P177" s="2" t="str">
        <f t="shared" si="12"/>
        <v>Failed to meet SLA</v>
      </c>
    </row>
    <row r="178" spans="1:16" ht="15.75" customHeight="1" x14ac:dyDescent="0.35">
      <c r="A178" s="2" t="s">
        <v>415</v>
      </c>
      <c r="B178" s="4" t="s">
        <v>416</v>
      </c>
      <c r="C178" s="2" t="s">
        <v>24</v>
      </c>
      <c r="D178" s="2" t="s">
        <v>14</v>
      </c>
      <c r="E178" s="2" t="s">
        <v>25</v>
      </c>
      <c r="F178" s="2">
        <v>3.2</v>
      </c>
      <c r="G178" s="2" t="s">
        <v>16</v>
      </c>
      <c r="H178" s="9">
        <v>2.6</v>
      </c>
      <c r="I178" s="9">
        <v>5.0999999999999996</v>
      </c>
      <c r="J178" s="2"/>
      <c r="K178" s="2" t="s">
        <v>17</v>
      </c>
      <c r="L178" s="19" t="str">
        <f t="shared" si="13"/>
        <v>July</v>
      </c>
      <c r="M178" s="12" t="str">
        <f t="shared" si="10"/>
        <v>Not Rated</v>
      </c>
      <c r="N178" s="12" t="str">
        <f t="shared" si="14"/>
        <v>Not Rated</v>
      </c>
      <c r="O178" s="2" t="str">
        <f t="shared" si="11"/>
        <v>1 Day</v>
      </c>
      <c r="P178" s="2" t="str">
        <f t="shared" si="12"/>
        <v>SLA met</v>
      </c>
    </row>
    <row r="179" spans="1:16" ht="15.75" customHeight="1" x14ac:dyDescent="0.35">
      <c r="A179" s="2" t="s">
        <v>417</v>
      </c>
      <c r="B179" s="4" t="s">
        <v>418</v>
      </c>
      <c r="C179" s="2" t="s">
        <v>24</v>
      </c>
      <c r="D179" s="2" t="s">
        <v>14</v>
      </c>
      <c r="E179" s="2" t="s">
        <v>25</v>
      </c>
      <c r="F179" s="2">
        <v>3.2</v>
      </c>
      <c r="G179" s="2" t="s">
        <v>30</v>
      </c>
      <c r="H179" s="9">
        <v>4.3</v>
      </c>
      <c r="I179" s="9">
        <v>12.9</v>
      </c>
      <c r="J179" s="2">
        <v>2</v>
      </c>
      <c r="K179" s="2" t="s">
        <v>17</v>
      </c>
      <c r="L179" s="19" t="str">
        <f t="shared" si="13"/>
        <v>July</v>
      </c>
      <c r="M179" s="12" t="str">
        <f t="shared" si="10"/>
        <v>Rated</v>
      </c>
      <c r="N179" s="12" t="str">
        <f t="shared" si="14"/>
        <v>Dissatisfied</v>
      </c>
      <c r="O179" s="2" t="str">
        <f t="shared" si="11"/>
        <v>1 Day</v>
      </c>
      <c r="P179" s="2" t="str">
        <f t="shared" si="12"/>
        <v>SLA met</v>
      </c>
    </row>
    <row r="180" spans="1:16" ht="15.75" customHeight="1" x14ac:dyDescent="0.35">
      <c r="A180" s="2" t="s">
        <v>419</v>
      </c>
      <c r="B180" s="4" t="s">
        <v>420</v>
      </c>
      <c r="C180" s="2" t="s">
        <v>13</v>
      </c>
      <c r="D180" s="2" t="s">
        <v>14</v>
      </c>
      <c r="E180" s="2" t="s">
        <v>25</v>
      </c>
      <c r="F180" s="2">
        <v>3.2</v>
      </c>
      <c r="G180" s="2" t="s">
        <v>30</v>
      </c>
      <c r="H180" s="9">
        <v>2</v>
      </c>
      <c r="I180" s="9">
        <v>10.9</v>
      </c>
      <c r="J180" s="2"/>
      <c r="K180" s="2" t="s">
        <v>17</v>
      </c>
      <c r="L180" s="19" t="str">
        <f t="shared" si="13"/>
        <v>July</v>
      </c>
      <c r="M180" s="12" t="str">
        <f t="shared" si="10"/>
        <v>Not Rated</v>
      </c>
      <c r="N180" s="12" t="str">
        <f t="shared" si="14"/>
        <v>Not Rated</v>
      </c>
      <c r="O180" s="2" t="str">
        <f t="shared" si="11"/>
        <v>1 Day</v>
      </c>
      <c r="P180" s="2" t="str">
        <f t="shared" si="12"/>
        <v>SLA met</v>
      </c>
    </row>
    <row r="181" spans="1:16" ht="15.75" customHeight="1" x14ac:dyDescent="0.35">
      <c r="A181" s="2" t="s">
        <v>421</v>
      </c>
      <c r="B181" s="4" t="s">
        <v>422</v>
      </c>
      <c r="C181" s="2" t="s">
        <v>24</v>
      </c>
      <c r="D181" s="2" t="s">
        <v>20</v>
      </c>
      <c r="E181" s="2" t="s">
        <v>340</v>
      </c>
      <c r="F181" s="2">
        <v>3.2</v>
      </c>
      <c r="G181" s="2" t="s">
        <v>16</v>
      </c>
      <c r="H181" s="9">
        <v>1.6</v>
      </c>
      <c r="I181" s="9">
        <v>19.399999999999999</v>
      </c>
      <c r="J181" s="2"/>
      <c r="K181" s="2" t="s">
        <v>17</v>
      </c>
      <c r="L181" s="19" t="str">
        <f t="shared" si="13"/>
        <v>July</v>
      </c>
      <c r="M181" s="12" t="str">
        <f t="shared" si="10"/>
        <v>Not Rated</v>
      </c>
      <c r="N181" s="12" t="str">
        <f t="shared" si="14"/>
        <v>Not Rated</v>
      </c>
      <c r="O181" s="2" t="str">
        <f t="shared" si="11"/>
        <v>1 Day</v>
      </c>
      <c r="P181" s="2" t="str">
        <f t="shared" si="12"/>
        <v>SLA met</v>
      </c>
    </row>
    <row r="182" spans="1:16" ht="15.75" customHeight="1" x14ac:dyDescent="0.35">
      <c r="A182" s="2" t="s">
        <v>423</v>
      </c>
      <c r="B182" s="4" t="s">
        <v>424</v>
      </c>
      <c r="C182" s="2" t="s">
        <v>13</v>
      </c>
      <c r="D182" s="2" t="s">
        <v>20</v>
      </c>
      <c r="E182" s="2" t="s">
        <v>49</v>
      </c>
      <c r="F182" s="2">
        <v>3.2</v>
      </c>
      <c r="G182" s="2" t="s">
        <v>16</v>
      </c>
      <c r="H182" s="9">
        <v>1.1000000000000001</v>
      </c>
      <c r="I182" s="9">
        <v>6.1</v>
      </c>
      <c r="J182" s="2"/>
      <c r="K182" s="2" t="s">
        <v>17</v>
      </c>
      <c r="L182" s="19" t="str">
        <f t="shared" si="13"/>
        <v>July</v>
      </c>
      <c r="M182" s="12" t="str">
        <f t="shared" si="10"/>
        <v>Not Rated</v>
      </c>
      <c r="N182" s="12" t="str">
        <f t="shared" si="14"/>
        <v>Not Rated</v>
      </c>
      <c r="O182" s="2" t="str">
        <f t="shared" si="11"/>
        <v>1 Day</v>
      </c>
      <c r="P182" s="2" t="str">
        <f t="shared" si="12"/>
        <v>SLA met</v>
      </c>
    </row>
    <row r="183" spans="1:16" ht="15.75" customHeight="1" x14ac:dyDescent="0.35">
      <c r="A183" s="2" t="s">
        <v>425</v>
      </c>
      <c r="B183" s="4" t="s">
        <v>426</v>
      </c>
      <c r="C183" s="2" t="s">
        <v>24</v>
      </c>
      <c r="D183" s="2" t="s">
        <v>28</v>
      </c>
      <c r="E183" s="2" t="s">
        <v>59</v>
      </c>
      <c r="F183" s="2">
        <v>3.2</v>
      </c>
      <c r="G183" s="2" t="s">
        <v>30</v>
      </c>
      <c r="H183" s="9">
        <v>11.4</v>
      </c>
      <c r="I183" s="9">
        <v>2</v>
      </c>
      <c r="J183" s="2">
        <v>5</v>
      </c>
      <c r="K183" s="2" t="s">
        <v>17</v>
      </c>
      <c r="L183" s="19" t="str">
        <f t="shared" si="13"/>
        <v>July</v>
      </c>
      <c r="M183" s="12" t="str">
        <f t="shared" si="10"/>
        <v>Rated</v>
      </c>
      <c r="N183" s="12" t="str">
        <f t="shared" si="14"/>
        <v>Satisfied</v>
      </c>
      <c r="O183" s="2" t="str">
        <f t="shared" si="11"/>
        <v>1 Day</v>
      </c>
      <c r="P183" s="2" t="str">
        <f t="shared" si="12"/>
        <v>Failed to meet SLA</v>
      </c>
    </row>
    <row r="184" spans="1:16" ht="15.75" customHeight="1" x14ac:dyDescent="0.35">
      <c r="A184" s="2" t="s">
        <v>427</v>
      </c>
      <c r="B184" s="4" t="s">
        <v>428</v>
      </c>
      <c r="C184" s="2" t="s">
        <v>13</v>
      </c>
      <c r="D184" s="2" t="s">
        <v>20</v>
      </c>
      <c r="E184" s="2" t="s">
        <v>138</v>
      </c>
      <c r="F184" s="2">
        <v>3.2</v>
      </c>
      <c r="G184" s="2" t="s">
        <v>16</v>
      </c>
      <c r="H184" s="9">
        <v>0.8</v>
      </c>
      <c r="I184" s="9">
        <v>1.5</v>
      </c>
      <c r="J184" s="2">
        <v>5</v>
      </c>
      <c r="K184" s="2" t="s">
        <v>17</v>
      </c>
      <c r="L184" s="19" t="str">
        <f t="shared" si="13"/>
        <v>July</v>
      </c>
      <c r="M184" s="12" t="str">
        <f t="shared" si="10"/>
        <v>Rated</v>
      </c>
      <c r="N184" s="12" t="str">
        <f t="shared" si="14"/>
        <v>Satisfied</v>
      </c>
      <c r="O184" s="2" t="str">
        <f t="shared" si="11"/>
        <v>1 Day</v>
      </c>
      <c r="P184" s="2" t="str">
        <f t="shared" si="12"/>
        <v>SLA met</v>
      </c>
    </row>
    <row r="185" spans="1:16" ht="15.75" customHeight="1" x14ac:dyDescent="0.35">
      <c r="A185" s="2" t="s">
        <v>429</v>
      </c>
      <c r="B185" s="4" t="s">
        <v>430</v>
      </c>
      <c r="C185" s="2" t="s">
        <v>13</v>
      </c>
      <c r="D185" s="2" t="s">
        <v>20</v>
      </c>
      <c r="E185" s="2" t="s">
        <v>138</v>
      </c>
      <c r="F185" s="2">
        <v>3.2</v>
      </c>
      <c r="G185" s="2" t="s">
        <v>16</v>
      </c>
      <c r="H185" s="9">
        <v>1.2</v>
      </c>
      <c r="I185" s="9">
        <v>4.2</v>
      </c>
      <c r="J185" s="2"/>
      <c r="K185" s="2" t="s">
        <v>17</v>
      </c>
      <c r="L185" s="19" t="str">
        <f t="shared" si="13"/>
        <v>July</v>
      </c>
      <c r="M185" s="12" t="str">
        <f t="shared" si="10"/>
        <v>Not Rated</v>
      </c>
      <c r="N185" s="12" t="str">
        <f t="shared" si="14"/>
        <v>Not Rated</v>
      </c>
      <c r="O185" s="2" t="str">
        <f t="shared" si="11"/>
        <v>1 Day</v>
      </c>
      <c r="P185" s="2" t="str">
        <f t="shared" si="12"/>
        <v>SLA met</v>
      </c>
    </row>
    <row r="186" spans="1:16" ht="15.75" customHeight="1" x14ac:dyDescent="0.35">
      <c r="A186" s="2" t="s">
        <v>431</v>
      </c>
      <c r="B186" s="4" t="s">
        <v>432</v>
      </c>
      <c r="C186" s="2" t="s">
        <v>24</v>
      </c>
      <c r="D186" s="2" t="s">
        <v>52</v>
      </c>
      <c r="E186" s="2" t="s">
        <v>90</v>
      </c>
      <c r="F186" s="2">
        <v>3.2</v>
      </c>
      <c r="G186" s="2" t="s">
        <v>30</v>
      </c>
      <c r="H186" s="9">
        <v>2.5</v>
      </c>
      <c r="I186" s="9">
        <v>43.4</v>
      </c>
      <c r="J186" s="2">
        <v>2</v>
      </c>
      <c r="K186" s="2" t="s">
        <v>17</v>
      </c>
      <c r="L186" s="19" t="str">
        <f t="shared" si="13"/>
        <v>July</v>
      </c>
      <c r="M186" s="12" t="str">
        <f t="shared" si="10"/>
        <v>Rated</v>
      </c>
      <c r="N186" s="12" t="str">
        <f t="shared" si="14"/>
        <v>Dissatisfied</v>
      </c>
      <c r="O186" s="2" t="str">
        <f t="shared" si="11"/>
        <v>2 Days</v>
      </c>
      <c r="P186" s="2" t="str">
        <f t="shared" si="12"/>
        <v>SLA met</v>
      </c>
    </row>
    <row r="187" spans="1:16" ht="15.75" customHeight="1" x14ac:dyDescent="0.35">
      <c r="A187" s="2" t="s">
        <v>433</v>
      </c>
      <c r="B187" s="4" t="s">
        <v>434</v>
      </c>
      <c r="C187" s="2" t="s">
        <v>13</v>
      </c>
      <c r="D187" s="2" t="s">
        <v>75</v>
      </c>
      <c r="E187" s="2" t="s">
        <v>200</v>
      </c>
      <c r="F187" s="2">
        <v>3.2</v>
      </c>
      <c r="G187" s="2" t="s">
        <v>30</v>
      </c>
      <c r="H187" s="9">
        <v>2</v>
      </c>
      <c r="I187" s="9">
        <v>3</v>
      </c>
      <c r="J187" s="2"/>
      <c r="K187" s="2" t="s">
        <v>17</v>
      </c>
      <c r="L187" s="19" t="str">
        <f t="shared" si="13"/>
        <v>July</v>
      </c>
      <c r="M187" s="12" t="str">
        <f t="shared" si="10"/>
        <v>Not Rated</v>
      </c>
      <c r="N187" s="12" t="str">
        <f t="shared" si="14"/>
        <v>Not Rated</v>
      </c>
      <c r="O187" s="2" t="str">
        <f t="shared" si="11"/>
        <v>1 Day</v>
      </c>
      <c r="P187" s="2" t="str">
        <f t="shared" si="12"/>
        <v>SLA met</v>
      </c>
    </row>
    <row r="188" spans="1:16" ht="15.75" customHeight="1" x14ac:dyDescent="0.35">
      <c r="A188" s="2" t="s">
        <v>435</v>
      </c>
      <c r="B188" s="4" t="s">
        <v>436</v>
      </c>
      <c r="C188" s="2" t="s">
        <v>24</v>
      </c>
      <c r="D188" s="2" t="s">
        <v>52</v>
      </c>
      <c r="E188" s="2" t="s">
        <v>323</v>
      </c>
      <c r="F188" s="2">
        <v>3.2</v>
      </c>
      <c r="G188" s="2" t="s">
        <v>16</v>
      </c>
      <c r="H188" s="9">
        <v>7.9</v>
      </c>
      <c r="I188" s="9">
        <v>26.1</v>
      </c>
      <c r="J188" s="2">
        <v>1</v>
      </c>
      <c r="K188" s="2" t="s">
        <v>17</v>
      </c>
      <c r="L188" s="19" t="str">
        <f t="shared" si="13"/>
        <v>July</v>
      </c>
      <c r="M188" s="12" t="str">
        <f t="shared" si="10"/>
        <v>Rated</v>
      </c>
      <c r="N188" s="12" t="str">
        <f t="shared" si="14"/>
        <v>Dissatisfied</v>
      </c>
      <c r="O188" s="2" t="str">
        <f t="shared" si="11"/>
        <v>2 Days</v>
      </c>
      <c r="P188" s="2" t="str">
        <f t="shared" si="12"/>
        <v>Failed to meet SLA</v>
      </c>
    </row>
    <row r="189" spans="1:16" ht="15.75" customHeight="1" x14ac:dyDescent="0.35">
      <c r="A189" s="2" t="s">
        <v>437</v>
      </c>
      <c r="B189" s="4" t="s">
        <v>438</v>
      </c>
      <c r="C189" s="2" t="s">
        <v>13</v>
      </c>
      <c r="D189" s="2" t="s">
        <v>33</v>
      </c>
      <c r="E189" s="2" t="s">
        <v>127</v>
      </c>
      <c r="F189" s="2">
        <v>3.2</v>
      </c>
      <c r="G189" s="2" t="s">
        <v>16</v>
      </c>
      <c r="H189" s="9">
        <v>0.2</v>
      </c>
      <c r="I189" s="9">
        <v>29.5</v>
      </c>
      <c r="J189" s="2">
        <v>3</v>
      </c>
      <c r="K189" s="2" t="s">
        <v>17</v>
      </c>
      <c r="L189" s="19" t="str">
        <f t="shared" si="13"/>
        <v>July</v>
      </c>
      <c r="M189" s="12" t="str">
        <f t="shared" si="10"/>
        <v>Rated</v>
      </c>
      <c r="N189" s="12" t="str">
        <f t="shared" si="14"/>
        <v>Neutral</v>
      </c>
      <c r="O189" s="2" t="str">
        <f t="shared" si="11"/>
        <v>2 Days</v>
      </c>
      <c r="P189" s="2" t="str">
        <f t="shared" si="12"/>
        <v>SLA met</v>
      </c>
    </row>
    <row r="190" spans="1:16" ht="15.75" customHeight="1" x14ac:dyDescent="0.35">
      <c r="A190" s="2" t="s">
        <v>439</v>
      </c>
      <c r="B190" s="4" t="s">
        <v>440</v>
      </c>
      <c r="C190" s="2" t="s">
        <v>13</v>
      </c>
      <c r="D190" s="2" t="s">
        <v>41</v>
      </c>
      <c r="E190" s="2" t="s">
        <v>103</v>
      </c>
      <c r="F190" s="2">
        <v>3.1</v>
      </c>
      <c r="G190" s="2" t="s">
        <v>30</v>
      </c>
      <c r="H190" s="9">
        <v>0.7</v>
      </c>
      <c r="I190" s="9">
        <v>27.9</v>
      </c>
      <c r="J190" s="2">
        <v>4</v>
      </c>
      <c r="K190" s="2" t="s">
        <v>17</v>
      </c>
      <c r="L190" s="19" t="str">
        <f t="shared" si="13"/>
        <v>July</v>
      </c>
      <c r="M190" s="12" t="str">
        <f t="shared" si="10"/>
        <v>Rated</v>
      </c>
      <c r="N190" s="12" t="str">
        <f t="shared" si="14"/>
        <v>Satisfied</v>
      </c>
      <c r="O190" s="2" t="str">
        <f t="shared" si="11"/>
        <v>2 Days</v>
      </c>
      <c r="P190" s="2" t="str">
        <f t="shared" si="12"/>
        <v>SLA met</v>
      </c>
    </row>
    <row r="191" spans="1:16" ht="15.75" customHeight="1" x14ac:dyDescent="0.35">
      <c r="A191" s="2" t="s">
        <v>441</v>
      </c>
      <c r="B191" s="4" t="s">
        <v>442</v>
      </c>
      <c r="C191" s="2" t="s">
        <v>13</v>
      </c>
      <c r="D191" s="2" t="s">
        <v>52</v>
      </c>
      <c r="E191" s="2" t="s">
        <v>323</v>
      </c>
      <c r="F191" s="2">
        <v>3.2</v>
      </c>
      <c r="G191" s="2" t="s">
        <v>30</v>
      </c>
      <c r="H191" s="9">
        <v>2</v>
      </c>
      <c r="I191" s="9">
        <v>46.2</v>
      </c>
      <c r="J191" s="2">
        <v>2</v>
      </c>
      <c r="K191" s="2" t="s">
        <v>17</v>
      </c>
      <c r="L191" s="19" t="str">
        <f t="shared" si="13"/>
        <v>July</v>
      </c>
      <c r="M191" s="12" t="str">
        <f t="shared" si="10"/>
        <v>Rated</v>
      </c>
      <c r="N191" s="12" t="str">
        <f t="shared" si="14"/>
        <v>Dissatisfied</v>
      </c>
      <c r="O191" s="2" t="str">
        <f t="shared" si="11"/>
        <v>2 Days</v>
      </c>
      <c r="P191" s="2" t="str">
        <f t="shared" si="12"/>
        <v>SLA met</v>
      </c>
    </row>
    <row r="192" spans="1:16" ht="15.75" customHeight="1" x14ac:dyDescent="0.35">
      <c r="A192" s="2" t="s">
        <v>443</v>
      </c>
      <c r="B192" s="4" t="s">
        <v>444</v>
      </c>
      <c r="C192" s="2" t="s">
        <v>24</v>
      </c>
      <c r="D192" s="2" t="s">
        <v>52</v>
      </c>
      <c r="E192" s="2" t="s">
        <v>90</v>
      </c>
      <c r="F192" s="2">
        <v>3.2</v>
      </c>
      <c r="G192" s="2" t="s">
        <v>30</v>
      </c>
      <c r="H192" s="9">
        <v>3.4</v>
      </c>
      <c r="I192" s="9">
        <v>50.2</v>
      </c>
      <c r="J192" s="2">
        <v>3</v>
      </c>
      <c r="K192" s="2" t="s">
        <v>17</v>
      </c>
      <c r="L192" s="19" t="str">
        <f t="shared" si="13"/>
        <v>July</v>
      </c>
      <c r="M192" s="12" t="str">
        <f t="shared" si="10"/>
        <v>Rated</v>
      </c>
      <c r="N192" s="12" t="str">
        <f t="shared" si="14"/>
        <v>Neutral</v>
      </c>
      <c r="O192" s="2" t="str">
        <f t="shared" si="11"/>
        <v>More than 2 days</v>
      </c>
      <c r="P192" s="2" t="str">
        <f t="shared" si="12"/>
        <v>SLA met</v>
      </c>
    </row>
    <row r="193" spans="1:16" ht="15.75" customHeight="1" x14ac:dyDescent="0.35">
      <c r="A193" s="2" t="s">
        <v>445</v>
      </c>
      <c r="B193" s="4" t="s">
        <v>446</v>
      </c>
      <c r="C193" s="2" t="s">
        <v>24</v>
      </c>
      <c r="D193" s="2" t="s">
        <v>28</v>
      </c>
      <c r="E193" s="2" t="s">
        <v>29</v>
      </c>
      <c r="F193" s="2">
        <v>3.2</v>
      </c>
      <c r="G193" s="2" t="s">
        <v>16</v>
      </c>
      <c r="H193" s="9">
        <v>5.7</v>
      </c>
      <c r="I193" s="9">
        <v>1.2</v>
      </c>
      <c r="J193" s="2"/>
      <c r="K193" s="2" t="s">
        <v>17</v>
      </c>
      <c r="L193" s="19" t="str">
        <f t="shared" si="13"/>
        <v>July</v>
      </c>
      <c r="M193" s="12" t="str">
        <f t="shared" si="10"/>
        <v>Not Rated</v>
      </c>
      <c r="N193" s="12" t="str">
        <f t="shared" si="14"/>
        <v>Not Rated</v>
      </c>
      <c r="O193" s="2" t="str">
        <f t="shared" si="11"/>
        <v>1 Day</v>
      </c>
      <c r="P193" s="2" t="str">
        <f t="shared" si="12"/>
        <v>SLA met</v>
      </c>
    </row>
    <row r="194" spans="1:16" ht="15.75" customHeight="1" x14ac:dyDescent="0.35">
      <c r="A194" s="2" t="s">
        <v>447</v>
      </c>
      <c r="B194" s="4" t="s">
        <v>448</v>
      </c>
      <c r="C194" s="2" t="s">
        <v>24</v>
      </c>
      <c r="D194" s="2" t="s">
        <v>14</v>
      </c>
      <c r="E194" s="2" t="s">
        <v>56</v>
      </c>
      <c r="F194" s="2">
        <v>3.2</v>
      </c>
      <c r="G194" s="2" t="s">
        <v>30</v>
      </c>
      <c r="H194" s="9">
        <v>7.8</v>
      </c>
      <c r="I194" s="9">
        <v>18</v>
      </c>
      <c r="J194" s="2"/>
      <c r="K194" s="2" t="s">
        <v>17</v>
      </c>
      <c r="L194" s="19" t="str">
        <f t="shared" si="13"/>
        <v>July</v>
      </c>
      <c r="M194" s="12" t="str">
        <f t="shared" ref="M194:M240" si="15">IF(ISBLANK(J194), "Not Rated", "Rated")</f>
        <v>Not Rated</v>
      </c>
      <c r="N194" s="12" t="str">
        <f t="shared" si="14"/>
        <v>Not Rated</v>
      </c>
      <c r="O194" s="2" t="str">
        <f t="shared" ref="O194:O240" si="16">IF(I194&lt;=24,"1 Day",IF(I194&gt;48,"More than 2 days", "2 Days"))</f>
        <v>1 Day</v>
      </c>
      <c r="P194" s="2" t="str">
        <f t="shared" ref="P194:P240" si="17">IF(H194&lt;=6, "SLA met","Failed to meet SLA")</f>
        <v>Failed to meet SLA</v>
      </c>
    </row>
    <row r="195" spans="1:16" ht="15.75" customHeight="1" x14ac:dyDescent="0.35">
      <c r="A195" s="2" t="s">
        <v>449</v>
      </c>
      <c r="B195" s="4" t="s">
        <v>450</v>
      </c>
      <c r="C195" s="2" t="s">
        <v>13</v>
      </c>
      <c r="D195" s="2" t="s">
        <v>52</v>
      </c>
      <c r="E195" s="2" t="s">
        <v>90</v>
      </c>
      <c r="F195" s="2">
        <v>3.2</v>
      </c>
      <c r="G195" s="2" t="s">
        <v>16</v>
      </c>
      <c r="H195" s="9">
        <v>0.7</v>
      </c>
      <c r="I195" s="9">
        <v>48.7</v>
      </c>
      <c r="J195" s="2"/>
      <c r="K195" s="2" t="s">
        <v>17</v>
      </c>
      <c r="L195" s="19" t="str">
        <f t="shared" ref="L195:L240" si="18">TEXT(B195,"mmmm")</f>
        <v>July</v>
      </c>
      <c r="M195" s="12" t="str">
        <f t="shared" si="15"/>
        <v>Not Rated</v>
      </c>
      <c r="N195" s="12" t="str">
        <f t="shared" ref="N195:N240" si="19">IF(J195&gt;=4, "Satisfied", IF(J195=3, "Neutral",IF(J195&gt;=1,"Dissatisfied", "Not Rated")))</f>
        <v>Not Rated</v>
      </c>
      <c r="O195" s="2" t="str">
        <f t="shared" si="16"/>
        <v>More than 2 days</v>
      </c>
      <c r="P195" s="2" t="str">
        <f t="shared" si="17"/>
        <v>SLA met</v>
      </c>
    </row>
    <row r="196" spans="1:16" ht="15.75" customHeight="1" x14ac:dyDescent="0.35">
      <c r="A196" s="2" t="s">
        <v>451</v>
      </c>
      <c r="B196" s="4" t="s">
        <v>452</v>
      </c>
      <c r="C196" s="2" t="s">
        <v>24</v>
      </c>
      <c r="D196" s="2" t="s">
        <v>41</v>
      </c>
      <c r="E196" s="2" t="s">
        <v>103</v>
      </c>
      <c r="F196" s="2">
        <v>3.2</v>
      </c>
      <c r="G196" s="2" t="s">
        <v>30</v>
      </c>
      <c r="H196" s="9">
        <v>10.4</v>
      </c>
      <c r="I196" s="9">
        <v>52.4</v>
      </c>
      <c r="J196" s="2">
        <v>3</v>
      </c>
      <c r="K196" s="2" t="s">
        <v>17</v>
      </c>
      <c r="L196" s="19" t="str">
        <f t="shared" si="18"/>
        <v>July</v>
      </c>
      <c r="M196" s="12" t="str">
        <f t="shared" si="15"/>
        <v>Rated</v>
      </c>
      <c r="N196" s="12" t="str">
        <f t="shared" si="19"/>
        <v>Neutral</v>
      </c>
      <c r="O196" s="2" t="str">
        <f t="shared" si="16"/>
        <v>More than 2 days</v>
      </c>
      <c r="P196" s="2" t="str">
        <f t="shared" si="17"/>
        <v>Failed to meet SLA</v>
      </c>
    </row>
    <row r="197" spans="1:16" ht="15.75" customHeight="1" x14ac:dyDescent="0.35">
      <c r="A197" s="2" t="s">
        <v>453</v>
      </c>
      <c r="B197" s="4" t="s">
        <v>454</v>
      </c>
      <c r="C197" s="2" t="s">
        <v>24</v>
      </c>
      <c r="D197" s="2" t="s">
        <v>52</v>
      </c>
      <c r="E197" s="2" t="s">
        <v>173</v>
      </c>
      <c r="F197" s="2">
        <v>3.2</v>
      </c>
      <c r="G197" s="2" t="s">
        <v>16</v>
      </c>
      <c r="H197" s="9">
        <v>2.8</v>
      </c>
      <c r="I197" s="9">
        <v>41.4</v>
      </c>
      <c r="J197" s="2">
        <v>2</v>
      </c>
      <c r="K197" s="2" t="s">
        <v>17</v>
      </c>
      <c r="L197" s="19" t="str">
        <f t="shared" si="18"/>
        <v>July</v>
      </c>
      <c r="M197" s="12" t="str">
        <f t="shared" si="15"/>
        <v>Rated</v>
      </c>
      <c r="N197" s="12" t="str">
        <f t="shared" si="19"/>
        <v>Dissatisfied</v>
      </c>
      <c r="O197" s="2" t="str">
        <f t="shared" si="16"/>
        <v>2 Days</v>
      </c>
      <c r="P197" s="2" t="str">
        <f t="shared" si="17"/>
        <v>SLA met</v>
      </c>
    </row>
    <row r="198" spans="1:16" ht="15.75" customHeight="1" x14ac:dyDescent="0.35">
      <c r="A198" s="2" t="s">
        <v>455</v>
      </c>
      <c r="B198" s="4" t="s">
        <v>456</v>
      </c>
      <c r="C198" s="2" t="s">
        <v>13</v>
      </c>
      <c r="D198" s="2" t="s">
        <v>33</v>
      </c>
      <c r="E198" s="2" t="s">
        <v>84</v>
      </c>
      <c r="F198" s="2">
        <v>3.2</v>
      </c>
      <c r="G198" s="2" t="s">
        <v>16</v>
      </c>
      <c r="H198" s="9">
        <v>0.9</v>
      </c>
      <c r="I198" s="9">
        <v>11.5</v>
      </c>
      <c r="J198" s="2"/>
      <c r="K198" s="2" t="s">
        <v>17</v>
      </c>
      <c r="L198" s="19" t="str">
        <f t="shared" si="18"/>
        <v>July</v>
      </c>
      <c r="M198" s="12" t="str">
        <f t="shared" si="15"/>
        <v>Not Rated</v>
      </c>
      <c r="N198" s="12" t="str">
        <f t="shared" si="19"/>
        <v>Not Rated</v>
      </c>
      <c r="O198" s="2" t="str">
        <f t="shared" si="16"/>
        <v>1 Day</v>
      </c>
      <c r="P198" s="2" t="str">
        <f t="shared" si="17"/>
        <v>SLA met</v>
      </c>
    </row>
    <row r="199" spans="1:16" ht="15.75" customHeight="1" x14ac:dyDescent="0.35">
      <c r="A199" s="2" t="s">
        <v>457</v>
      </c>
      <c r="B199" s="4" t="s">
        <v>458</v>
      </c>
      <c r="C199" s="2" t="s">
        <v>13</v>
      </c>
      <c r="D199" s="2" t="s">
        <v>14</v>
      </c>
      <c r="E199" s="2" t="s">
        <v>56</v>
      </c>
      <c r="F199" s="2">
        <v>3.2</v>
      </c>
      <c r="G199" s="2" t="s">
        <v>16</v>
      </c>
      <c r="H199" s="9">
        <v>1</v>
      </c>
      <c r="I199" s="9">
        <v>26.8</v>
      </c>
      <c r="J199" s="2">
        <v>2</v>
      </c>
      <c r="K199" s="2" t="s">
        <v>17</v>
      </c>
      <c r="L199" s="19" t="str">
        <f t="shared" si="18"/>
        <v>July</v>
      </c>
      <c r="M199" s="12" t="str">
        <f t="shared" si="15"/>
        <v>Rated</v>
      </c>
      <c r="N199" s="12" t="str">
        <f t="shared" si="19"/>
        <v>Dissatisfied</v>
      </c>
      <c r="O199" s="2" t="str">
        <f t="shared" si="16"/>
        <v>2 Days</v>
      </c>
      <c r="P199" s="2" t="str">
        <f t="shared" si="17"/>
        <v>SLA met</v>
      </c>
    </row>
    <row r="200" spans="1:16" ht="15.75" customHeight="1" x14ac:dyDescent="0.35">
      <c r="A200" s="2" t="s">
        <v>459</v>
      </c>
      <c r="B200" s="4" t="s">
        <v>460</v>
      </c>
      <c r="C200" s="2" t="s">
        <v>24</v>
      </c>
      <c r="D200" s="2" t="s">
        <v>33</v>
      </c>
      <c r="E200" s="2" t="s">
        <v>205</v>
      </c>
      <c r="F200" s="2">
        <v>3.1</v>
      </c>
      <c r="G200" s="2" t="s">
        <v>30</v>
      </c>
      <c r="H200" s="9">
        <v>7.7</v>
      </c>
      <c r="I200" s="9">
        <v>26.8</v>
      </c>
      <c r="J200" s="2"/>
      <c r="K200" s="2" t="s">
        <v>17</v>
      </c>
      <c r="L200" s="19" t="str">
        <f t="shared" si="18"/>
        <v>July</v>
      </c>
      <c r="M200" s="12" t="str">
        <f t="shared" si="15"/>
        <v>Not Rated</v>
      </c>
      <c r="N200" s="12" t="str">
        <f t="shared" si="19"/>
        <v>Not Rated</v>
      </c>
      <c r="O200" s="2" t="str">
        <f t="shared" si="16"/>
        <v>2 Days</v>
      </c>
      <c r="P200" s="2" t="str">
        <f t="shared" si="17"/>
        <v>Failed to meet SLA</v>
      </c>
    </row>
    <row r="201" spans="1:16" ht="15.75" customHeight="1" x14ac:dyDescent="0.35">
      <c r="A201" s="2" t="s">
        <v>461</v>
      </c>
      <c r="B201" s="4" t="s">
        <v>462</v>
      </c>
      <c r="C201" s="2" t="s">
        <v>13</v>
      </c>
      <c r="D201" s="2" t="s">
        <v>33</v>
      </c>
      <c r="E201" s="2" t="s">
        <v>34</v>
      </c>
      <c r="F201" s="2">
        <v>3.2</v>
      </c>
      <c r="G201" s="2" t="s">
        <v>30</v>
      </c>
      <c r="H201" s="9">
        <v>0.8</v>
      </c>
      <c r="I201" s="9">
        <v>14.1</v>
      </c>
      <c r="J201" s="2">
        <v>3</v>
      </c>
      <c r="K201" s="2" t="s">
        <v>17</v>
      </c>
      <c r="L201" s="19" t="str">
        <f t="shared" si="18"/>
        <v>July</v>
      </c>
      <c r="M201" s="12" t="str">
        <f t="shared" si="15"/>
        <v>Rated</v>
      </c>
      <c r="N201" s="12" t="str">
        <f t="shared" si="19"/>
        <v>Neutral</v>
      </c>
      <c r="O201" s="2" t="str">
        <f t="shared" si="16"/>
        <v>1 Day</v>
      </c>
      <c r="P201" s="2" t="str">
        <f t="shared" si="17"/>
        <v>SLA met</v>
      </c>
    </row>
    <row r="202" spans="1:16" ht="15.75" customHeight="1" x14ac:dyDescent="0.35">
      <c r="A202" s="2" t="s">
        <v>463</v>
      </c>
      <c r="B202" s="4" t="s">
        <v>464</v>
      </c>
      <c r="C202" s="2" t="s">
        <v>24</v>
      </c>
      <c r="D202" s="2" t="s">
        <v>33</v>
      </c>
      <c r="E202" s="2" t="s">
        <v>205</v>
      </c>
      <c r="F202" s="2">
        <v>3.2</v>
      </c>
      <c r="G202" s="2" t="s">
        <v>30</v>
      </c>
      <c r="H202" s="9">
        <v>4.5999999999999996</v>
      </c>
      <c r="I202" s="9">
        <v>10</v>
      </c>
      <c r="J202" s="2">
        <v>3</v>
      </c>
      <c r="K202" s="2" t="s">
        <v>17</v>
      </c>
      <c r="L202" s="19" t="str">
        <f t="shared" si="18"/>
        <v>July</v>
      </c>
      <c r="M202" s="12" t="str">
        <f t="shared" si="15"/>
        <v>Rated</v>
      </c>
      <c r="N202" s="12" t="str">
        <f t="shared" si="19"/>
        <v>Neutral</v>
      </c>
      <c r="O202" s="2" t="str">
        <f t="shared" si="16"/>
        <v>1 Day</v>
      </c>
      <c r="P202" s="2" t="str">
        <f t="shared" si="17"/>
        <v>SLA met</v>
      </c>
    </row>
    <row r="203" spans="1:16" ht="15.75" customHeight="1" x14ac:dyDescent="0.35">
      <c r="A203" s="2" t="s">
        <v>465</v>
      </c>
      <c r="B203" s="4" t="s">
        <v>466</v>
      </c>
      <c r="C203" s="2" t="s">
        <v>24</v>
      </c>
      <c r="D203" s="2" t="s">
        <v>45</v>
      </c>
      <c r="E203" s="2" t="s">
        <v>46</v>
      </c>
      <c r="F203" s="2">
        <v>3.2</v>
      </c>
      <c r="G203" s="2" t="s">
        <v>30</v>
      </c>
      <c r="H203" s="9">
        <v>5.4</v>
      </c>
      <c r="I203" s="9">
        <v>19.600000000000001</v>
      </c>
      <c r="J203" s="2">
        <v>5</v>
      </c>
      <c r="K203" s="2" t="s">
        <v>17</v>
      </c>
      <c r="L203" s="19" t="str">
        <f t="shared" si="18"/>
        <v>July</v>
      </c>
      <c r="M203" s="12" t="str">
        <f t="shared" si="15"/>
        <v>Rated</v>
      </c>
      <c r="N203" s="12" t="str">
        <f t="shared" si="19"/>
        <v>Satisfied</v>
      </c>
      <c r="O203" s="2" t="str">
        <f t="shared" si="16"/>
        <v>1 Day</v>
      </c>
      <c r="P203" s="2" t="str">
        <f t="shared" si="17"/>
        <v>SLA met</v>
      </c>
    </row>
    <row r="204" spans="1:16" ht="15.75" customHeight="1" x14ac:dyDescent="0.35">
      <c r="A204" s="2" t="s">
        <v>467</v>
      </c>
      <c r="B204" s="4" t="s">
        <v>468</v>
      </c>
      <c r="C204" s="2" t="s">
        <v>24</v>
      </c>
      <c r="D204" s="2" t="s">
        <v>14</v>
      </c>
      <c r="E204" s="2" t="s">
        <v>81</v>
      </c>
      <c r="F204" s="2">
        <v>3.2</v>
      </c>
      <c r="G204" s="2" t="s">
        <v>16</v>
      </c>
      <c r="H204" s="9">
        <v>2.8</v>
      </c>
      <c r="I204" s="9">
        <v>16.5</v>
      </c>
      <c r="J204" s="2"/>
      <c r="K204" s="2" t="s">
        <v>17</v>
      </c>
      <c r="L204" s="19" t="str">
        <f t="shared" si="18"/>
        <v>July</v>
      </c>
      <c r="M204" s="12" t="str">
        <f t="shared" si="15"/>
        <v>Not Rated</v>
      </c>
      <c r="N204" s="12" t="str">
        <f t="shared" si="19"/>
        <v>Not Rated</v>
      </c>
      <c r="O204" s="2" t="str">
        <f t="shared" si="16"/>
        <v>1 Day</v>
      </c>
      <c r="P204" s="2" t="str">
        <f t="shared" si="17"/>
        <v>SLA met</v>
      </c>
    </row>
    <row r="205" spans="1:16" ht="15.75" customHeight="1" x14ac:dyDescent="0.35">
      <c r="A205" s="2" t="s">
        <v>469</v>
      </c>
      <c r="B205" s="4" t="s">
        <v>470</v>
      </c>
      <c r="C205" s="2" t="s">
        <v>13</v>
      </c>
      <c r="D205" s="2" t="s">
        <v>20</v>
      </c>
      <c r="E205" s="2" t="s">
        <v>340</v>
      </c>
      <c r="F205" s="2">
        <v>3.2</v>
      </c>
      <c r="G205" s="2" t="s">
        <v>16</v>
      </c>
      <c r="H205" s="9">
        <v>2.4</v>
      </c>
      <c r="I205" s="9">
        <v>11.3</v>
      </c>
      <c r="J205" s="2"/>
      <c r="K205" s="2" t="s">
        <v>17</v>
      </c>
      <c r="L205" s="19" t="str">
        <f t="shared" si="18"/>
        <v>July</v>
      </c>
      <c r="M205" s="12" t="str">
        <f t="shared" si="15"/>
        <v>Not Rated</v>
      </c>
      <c r="N205" s="12" t="str">
        <f t="shared" si="19"/>
        <v>Not Rated</v>
      </c>
      <c r="O205" s="2" t="str">
        <f t="shared" si="16"/>
        <v>1 Day</v>
      </c>
      <c r="P205" s="2" t="str">
        <f t="shared" si="17"/>
        <v>SLA met</v>
      </c>
    </row>
    <row r="206" spans="1:16" ht="15.75" customHeight="1" x14ac:dyDescent="0.35">
      <c r="A206" s="2" t="s">
        <v>471</v>
      </c>
      <c r="B206" s="4" t="s">
        <v>472</v>
      </c>
      <c r="C206" s="2" t="s">
        <v>13</v>
      </c>
      <c r="D206" s="2" t="s">
        <v>33</v>
      </c>
      <c r="E206" s="2" t="s">
        <v>127</v>
      </c>
      <c r="F206" s="2">
        <v>3.2</v>
      </c>
      <c r="G206" s="2" t="s">
        <v>30</v>
      </c>
      <c r="H206" s="9">
        <v>0.2</v>
      </c>
      <c r="I206" s="9">
        <v>20.8</v>
      </c>
      <c r="J206" s="2">
        <v>5</v>
      </c>
      <c r="K206" s="2" t="s">
        <v>17</v>
      </c>
      <c r="L206" s="19" t="str">
        <f t="shared" si="18"/>
        <v>July</v>
      </c>
      <c r="M206" s="12" t="str">
        <f t="shared" si="15"/>
        <v>Rated</v>
      </c>
      <c r="N206" s="12" t="str">
        <f t="shared" si="19"/>
        <v>Satisfied</v>
      </c>
      <c r="O206" s="2" t="str">
        <f t="shared" si="16"/>
        <v>1 Day</v>
      </c>
      <c r="P206" s="2" t="str">
        <f t="shared" si="17"/>
        <v>SLA met</v>
      </c>
    </row>
    <row r="207" spans="1:16" ht="15.75" customHeight="1" x14ac:dyDescent="0.35">
      <c r="A207" s="2" t="s">
        <v>473</v>
      </c>
      <c r="B207" s="4" t="s">
        <v>474</v>
      </c>
      <c r="C207" s="2" t="s">
        <v>24</v>
      </c>
      <c r="D207" s="2" t="s">
        <v>52</v>
      </c>
      <c r="E207" s="2" t="s">
        <v>90</v>
      </c>
      <c r="F207" s="2">
        <v>3.2</v>
      </c>
      <c r="G207" s="2" t="s">
        <v>16</v>
      </c>
      <c r="H207" s="9">
        <v>11.4</v>
      </c>
      <c r="I207" s="9">
        <v>28.2</v>
      </c>
      <c r="J207" s="2">
        <v>2</v>
      </c>
      <c r="K207" s="2" t="s">
        <v>17</v>
      </c>
      <c r="L207" s="19" t="str">
        <f t="shared" si="18"/>
        <v>July</v>
      </c>
      <c r="M207" s="12" t="str">
        <f t="shared" si="15"/>
        <v>Rated</v>
      </c>
      <c r="N207" s="12" t="str">
        <f t="shared" si="19"/>
        <v>Dissatisfied</v>
      </c>
      <c r="O207" s="2" t="str">
        <f t="shared" si="16"/>
        <v>2 Days</v>
      </c>
      <c r="P207" s="2" t="str">
        <f t="shared" si="17"/>
        <v>Failed to meet SLA</v>
      </c>
    </row>
    <row r="208" spans="1:16" ht="15.75" customHeight="1" x14ac:dyDescent="0.35">
      <c r="A208" s="2" t="s">
        <v>475</v>
      </c>
      <c r="B208" s="4" t="s">
        <v>476</v>
      </c>
      <c r="C208" s="2" t="s">
        <v>24</v>
      </c>
      <c r="D208" s="2" t="s">
        <v>75</v>
      </c>
      <c r="E208" s="2" t="s">
        <v>112</v>
      </c>
      <c r="F208" s="2">
        <v>3.1</v>
      </c>
      <c r="G208" s="2" t="s">
        <v>16</v>
      </c>
      <c r="H208" s="9">
        <v>1.7</v>
      </c>
      <c r="I208" s="9">
        <v>17</v>
      </c>
      <c r="J208" s="2"/>
      <c r="K208" s="2" t="s">
        <v>17</v>
      </c>
      <c r="L208" s="19" t="str">
        <f t="shared" si="18"/>
        <v>July</v>
      </c>
      <c r="M208" s="12" t="str">
        <f t="shared" si="15"/>
        <v>Not Rated</v>
      </c>
      <c r="N208" s="12" t="str">
        <f t="shared" si="19"/>
        <v>Not Rated</v>
      </c>
      <c r="O208" s="2" t="str">
        <f t="shared" si="16"/>
        <v>1 Day</v>
      </c>
      <c r="P208" s="2" t="str">
        <f t="shared" si="17"/>
        <v>SLA met</v>
      </c>
    </row>
    <row r="209" spans="1:16" ht="15.75" customHeight="1" x14ac:dyDescent="0.35">
      <c r="A209" s="2" t="s">
        <v>477</v>
      </c>
      <c r="B209" s="4" t="s">
        <v>478</v>
      </c>
      <c r="C209" s="2" t="s">
        <v>24</v>
      </c>
      <c r="D209" s="2" t="s">
        <v>52</v>
      </c>
      <c r="E209" s="2" t="s">
        <v>252</v>
      </c>
      <c r="F209" s="2">
        <v>3.2</v>
      </c>
      <c r="G209" s="2" t="s">
        <v>16</v>
      </c>
      <c r="H209" s="9">
        <v>9</v>
      </c>
      <c r="I209" s="9">
        <v>41.3</v>
      </c>
      <c r="J209" s="2">
        <v>3</v>
      </c>
      <c r="K209" s="2" t="s">
        <v>17</v>
      </c>
      <c r="L209" s="19" t="str">
        <f t="shared" si="18"/>
        <v>July</v>
      </c>
      <c r="M209" s="12" t="str">
        <f t="shared" si="15"/>
        <v>Rated</v>
      </c>
      <c r="N209" s="12" t="str">
        <f t="shared" si="19"/>
        <v>Neutral</v>
      </c>
      <c r="O209" s="2" t="str">
        <f t="shared" si="16"/>
        <v>2 Days</v>
      </c>
      <c r="P209" s="2" t="str">
        <f t="shared" si="17"/>
        <v>Failed to meet SLA</v>
      </c>
    </row>
    <row r="210" spans="1:16" ht="15.75" customHeight="1" x14ac:dyDescent="0.35">
      <c r="A210" s="2" t="s">
        <v>479</v>
      </c>
      <c r="B210" s="4" t="s">
        <v>480</v>
      </c>
      <c r="C210" s="2" t="s">
        <v>13</v>
      </c>
      <c r="D210" s="2" t="s">
        <v>28</v>
      </c>
      <c r="E210" s="2" t="s">
        <v>95</v>
      </c>
      <c r="F210" s="2">
        <v>3.2</v>
      </c>
      <c r="G210" s="2" t="s">
        <v>30</v>
      </c>
      <c r="H210" s="9">
        <v>2</v>
      </c>
      <c r="I210" s="9">
        <v>8.6</v>
      </c>
      <c r="J210" s="2">
        <v>4</v>
      </c>
      <c r="K210" s="2" t="s">
        <v>17</v>
      </c>
      <c r="L210" s="19" t="str">
        <f t="shared" si="18"/>
        <v>July</v>
      </c>
      <c r="M210" s="12" t="str">
        <f t="shared" si="15"/>
        <v>Rated</v>
      </c>
      <c r="N210" s="12" t="str">
        <f t="shared" si="19"/>
        <v>Satisfied</v>
      </c>
      <c r="O210" s="2" t="str">
        <f t="shared" si="16"/>
        <v>1 Day</v>
      </c>
      <c r="P210" s="2" t="str">
        <f t="shared" si="17"/>
        <v>SLA met</v>
      </c>
    </row>
    <row r="211" spans="1:16" ht="15.75" customHeight="1" x14ac:dyDescent="0.35">
      <c r="A211" s="2" t="s">
        <v>481</v>
      </c>
      <c r="B211" s="4" t="s">
        <v>482</v>
      </c>
      <c r="C211" s="2" t="s">
        <v>13</v>
      </c>
      <c r="D211" s="2" t="s">
        <v>52</v>
      </c>
      <c r="E211" s="2" t="s">
        <v>173</v>
      </c>
      <c r="F211" s="2">
        <v>3.2</v>
      </c>
      <c r="G211" s="2" t="s">
        <v>16</v>
      </c>
      <c r="H211" s="9">
        <v>0.2</v>
      </c>
      <c r="I211" s="9">
        <v>33.5</v>
      </c>
      <c r="J211" s="2">
        <v>1</v>
      </c>
      <c r="K211" s="2" t="s">
        <v>17</v>
      </c>
      <c r="L211" s="19" t="str">
        <f t="shared" si="18"/>
        <v>July</v>
      </c>
      <c r="M211" s="12" t="str">
        <f t="shared" si="15"/>
        <v>Rated</v>
      </c>
      <c r="N211" s="12" t="str">
        <f t="shared" si="19"/>
        <v>Dissatisfied</v>
      </c>
      <c r="O211" s="2" t="str">
        <f t="shared" si="16"/>
        <v>2 Days</v>
      </c>
      <c r="P211" s="2" t="str">
        <f t="shared" si="17"/>
        <v>SLA met</v>
      </c>
    </row>
    <row r="212" spans="1:16" ht="15.75" customHeight="1" x14ac:dyDescent="0.35">
      <c r="A212" s="2" t="s">
        <v>483</v>
      </c>
      <c r="B212" s="4" t="s">
        <v>484</v>
      </c>
      <c r="C212" s="2" t="s">
        <v>13</v>
      </c>
      <c r="D212" s="2" t="s">
        <v>41</v>
      </c>
      <c r="E212" s="2" t="s">
        <v>485</v>
      </c>
      <c r="F212" s="2">
        <v>3.2</v>
      </c>
      <c r="G212" s="2" t="s">
        <v>16</v>
      </c>
      <c r="H212" s="9">
        <v>1</v>
      </c>
      <c r="I212" s="9">
        <v>42</v>
      </c>
      <c r="J212" s="2">
        <v>1</v>
      </c>
      <c r="K212" s="2" t="s">
        <v>17</v>
      </c>
      <c r="L212" s="19" t="str">
        <f t="shared" si="18"/>
        <v>July</v>
      </c>
      <c r="M212" s="12" t="str">
        <f t="shared" si="15"/>
        <v>Rated</v>
      </c>
      <c r="N212" s="12" t="str">
        <f t="shared" si="19"/>
        <v>Dissatisfied</v>
      </c>
      <c r="O212" s="2" t="str">
        <f t="shared" si="16"/>
        <v>2 Days</v>
      </c>
      <c r="P212" s="2" t="str">
        <f t="shared" si="17"/>
        <v>SLA met</v>
      </c>
    </row>
    <row r="213" spans="1:16" ht="15.75" customHeight="1" x14ac:dyDescent="0.35">
      <c r="A213" s="2" t="s">
        <v>486</v>
      </c>
      <c r="B213" s="4" t="s">
        <v>487</v>
      </c>
      <c r="C213" s="2" t="s">
        <v>13</v>
      </c>
      <c r="D213" s="2" t="s">
        <v>28</v>
      </c>
      <c r="E213" s="2" t="s">
        <v>29</v>
      </c>
      <c r="F213" s="2">
        <v>3.2</v>
      </c>
      <c r="G213" s="2" t="s">
        <v>30</v>
      </c>
      <c r="H213" s="9">
        <v>0.7</v>
      </c>
      <c r="I213" s="9">
        <v>0.7</v>
      </c>
      <c r="J213" s="2">
        <v>4</v>
      </c>
      <c r="K213" s="2" t="s">
        <v>17</v>
      </c>
      <c r="L213" s="19" t="str">
        <f t="shared" si="18"/>
        <v>July</v>
      </c>
      <c r="M213" s="12" t="str">
        <f t="shared" si="15"/>
        <v>Rated</v>
      </c>
      <c r="N213" s="12" t="str">
        <f t="shared" si="19"/>
        <v>Satisfied</v>
      </c>
      <c r="O213" s="2" t="str">
        <f t="shared" si="16"/>
        <v>1 Day</v>
      </c>
      <c r="P213" s="2" t="str">
        <f t="shared" si="17"/>
        <v>SLA met</v>
      </c>
    </row>
    <row r="214" spans="1:16" ht="15.75" customHeight="1" x14ac:dyDescent="0.35">
      <c r="A214" s="2" t="s">
        <v>488</v>
      </c>
      <c r="B214" s="4" t="s">
        <v>489</v>
      </c>
      <c r="C214" s="2" t="s">
        <v>13</v>
      </c>
      <c r="D214" s="2" t="s">
        <v>52</v>
      </c>
      <c r="E214" s="2" t="s">
        <v>173</v>
      </c>
      <c r="F214" s="2">
        <v>3.2</v>
      </c>
      <c r="G214" s="2" t="s">
        <v>16</v>
      </c>
      <c r="H214" s="9">
        <v>1.2</v>
      </c>
      <c r="I214" s="9">
        <v>41.4</v>
      </c>
      <c r="J214" s="2"/>
      <c r="K214" s="2" t="s">
        <v>17</v>
      </c>
      <c r="L214" s="19" t="str">
        <f t="shared" si="18"/>
        <v>July</v>
      </c>
      <c r="M214" s="12" t="str">
        <f t="shared" si="15"/>
        <v>Not Rated</v>
      </c>
      <c r="N214" s="12" t="str">
        <f t="shared" si="19"/>
        <v>Not Rated</v>
      </c>
      <c r="O214" s="2" t="str">
        <f t="shared" si="16"/>
        <v>2 Days</v>
      </c>
      <c r="P214" s="2" t="str">
        <f t="shared" si="17"/>
        <v>SLA met</v>
      </c>
    </row>
    <row r="215" spans="1:16" ht="15.75" customHeight="1" x14ac:dyDescent="0.35">
      <c r="A215" s="2" t="s">
        <v>490</v>
      </c>
      <c r="B215" s="4" t="s">
        <v>491</v>
      </c>
      <c r="C215" s="2" t="s">
        <v>13</v>
      </c>
      <c r="D215" s="2" t="s">
        <v>14</v>
      </c>
      <c r="E215" s="2" t="s">
        <v>81</v>
      </c>
      <c r="F215" s="2">
        <v>3.2</v>
      </c>
      <c r="G215" s="2" t="s">
        <v>30</v>
      </c>
      <c r="H215" s="9">
        <v>1.5</v>
      </c>
      <c r="I215" s="9">
        <v>18.7</v>
      </c>
      <c r="J215" s="2"/>
      <c r="K215" s="2" t="s">
        <v>17</v>
      </c>
      <c r="L215" s="19" t="str">
        <f t="shared" si="18"/>
        <v>July</v>
      </c>
      <c r="M215" s="12" t="str">
        <f t="shared" si="15"/>
        <v>Not Rated</v>
      </c>
      <c r="N215" s="12" t="str">
        <f t="shared" si="19"/>
        <v>Not Rated</v>
      </c>
      <c r="O215" s="2" t="str">
        <f t="shared" si="16"/>
        <v>1 Day</v>
      </c>
      <c r="P215" s="2" t="str">
        <f t="shared" si="17"/>
        <v>SLA met</v>
      </c>
    </row>
    <row r="216" spans="1:16" ht="15.75" customHeight="1" x14ac:dyDescent="0.35">
      <c r="A216" s="2" t="s">
        <v>492</v>
      </c>
      <c r="B216" s="4" t="s">
        <v>493</v>
      </c>
      <c r="C216" s="2" t="s">
        <v>13</v>
      </c>
      <c r="D216" s="2" t="s">
        <v>33</v>
      </c>
      <c r="E216" s="2" t="s">
        <v>205</v>
      </c>
      <c r="F216" s="2">
        <v>3.2</v>
      </c>
      <c r="G216" s="2" t="s">
        <v>16</v>
      </c>
      <c r="H216" s="9">
        <v>0.8</v>
      </c>
      <c r="I216" s="9">
        <v>10.9</v>
      </c>
      <c r="J216" s="2"/>
      <c r="K216" s="2" t="s">
        <v>17</v>
      </c>
      <c r="L216" s="19" t="str">
        <f t="shared" si="18"/>
        <v>July</v>
      </c>
      <c r="M216" s="12" t="str">
        <f t="shared" si="15"/>
        <v>Not Rated</v>
      </c>
      <c r="N216" s="12" t="str">
        <f t="shared" si="19"/>
        <v>Not Rated</v>
      </c>
      <c r="O216" s="2" t="str">
        <f t="shared" si="16"/>
        <v>1 Day</v>
      </c>
      <c r="P216" s="2" t="str">
        <f t="shared" si="17"/>
        <v>SLA met</v>
      </c>
    </row>
    <row r="217" spans="1:16" ht="15.75" customHeight="1" x14ac:dyDescent="0.35">
      <c r="A217" s="2" t="s">
        <v>494</v>
      </c>
      <c r="B217" s="4" t="s">
        <v>495</v>
      </c>
      <c r="C217" s="2" t="s">
        <v>24</v>
      </c>
      <c r="D217" s="2" t="s">
        <v>75</v>
      </c>
      <c r="E217" s="2" t="s">
        <v>241</v>
      </c>
      <c r="F217" s="2">
        <v>3.2</v>
      </c>
      <c r="G217" s="2" t="s">
        <v>30</v>
      </c>
      <c r="H217" s="9">
        <v>2.7</v>
      </c>
      <c r="I217" s="9">
        <v>11.5</v>
      </c>
      <c r="J217" s="2">
        <v>3</v>
      </c>
      <c r="K217" s="2" t="s">
        <v>17</v>
      </c>
      <c r="L217" s="19" t="str">
        <f t="shared" si="18"/>
        <v>July</v>
      </c>
      <c r="M217" s="12" t="str">
        <f t="shared" si="15"/>
        <v>Rated</v>
      </c>
      <c r="N217" s="12" t="str">
        <f t="shared" si="19"/>
        <v>Neutral</v>
      </c>
      <c r="O217" s="2" t="str">
        <f t="shared" si="16"/>
        <v>1 Day</v>
      </c>
      <c r="P217" s="2" t="str">
        <f t="shared" si="17"/>
        <v>SLA met</v>
      </c>
    </row>
    <row r="218" spans="1:16" ht="15.75" customHeight="1" x14ac:dyDescent="0.35">
      <c r="A218" s="2" t="s">
        <v>496</v>
      </c>
      <c r="B218" s="4" t="s">
        <v>497</v>
      </c>
      <c r="C218" s="2" t="s">
        <v>24</v>
      </c>
      <c r="D218" s="2" t="s">
        <v>52</v>
      </c>
      <c r="E218" s="2" t="s">
        <v>173</v>
      </c>
      <c r="F218" s="2">
        <v>3.2</v>
      </c>
      <c r="G218" s="2" t="s">
        <v>16</v>
      </c>
      <c r="H218" s="9">
        <v>8.3000000000000007</v>
      </c>
      <c r="I218" s="9">
        <v>14.7</v>
      </c>
      <c r="J218" s="2">
        <v>1</v>
      </c>
      <c r="K218" s="2" t="s">
        <v>17</v>
      </c>
      <c r="L218" s="19" t="str">
        <f t="shared" si="18"/>
        <v>July</v>
      </c>
      <c r="M218" s="12" t="str">
        <f t="shared" si="15"/>
        <v>Rated</v>
      </c>
      <c r="N218" s="12" t="str">
        <f t="shared" si="19"/>
        <v>Dissatisfied</v>
      </c>
      <c r="O218" s="2" t="str">
        <f t="shared" si="16"/>
        <v>1 Day</v>
      </c>
      <c r="P218" s="2" t="str">
        <f t="shared" si="17"/>
        <v>Failed to meet SLA</v>
      </c>
    </row>
    <row r="219" spans="1:16" ht="15.75" customHeight="1" x14ac:dyDescent="0.35">
      <c r="A219" s="2" t="s">
        <v>498</v>
      </c>
      <c r="B219" s="4" t="s">
        <v>499</v>
      </c>
      <c r="C219" s="2" t="s">
        <v>24</v>
      </c>
      <c r="D219" s="2" t="s">
        <v>14</v>
      </c>
      <c r="E219" s="2" t="s">
        <v>56</v>
      </c>
      <c r="F219" s="2">
        <v>3.2</v>
      </c>
      <c r="G219" s="2" t="s">
        <v>16</v>
      </c>
      <c r="H219" s="9">
        <v>10.199999999999999</v>
      </c>
      <c r="I219" s="9">
        <v>16.100000000000001</v>
      </c>
      <c r="J219" s="2">
        <v>4</v>
      </c>
      <c r="K219" s="2" t="s">
        <v>17</v>
      </c>
      <c r="L219" s="19" t="str">
        <f t="shared" si="18"/>
        <v>July</v>
      </c>
      <c r="M219" s="12" t="str">
        <f t="shared" si="15"/>
        <v>Rated</v>
      </c>
      <c r="N219" s="12" t="str">
        <f t="shared" si="19"/>
        <v>Satisfied</v>
      </c>
      <c r="O219" s="2" t="str">
        <f t="shared" si="16"/>
        <v>1 Day</v>
      </c>
      <c r="P219" s="2" t="str">
        <f t="shared" si="17"/>
        <v>Failed to meet SLA</v>
      </c>
    </row>
    <row r="220" spans="1:16" ht="15.75" customHeight="1" x14ac:dyDescent="0.35">
      <c r="A220" s="2" t="s">
        <v>500</v>
      </c>
      <c r="B220" s="4" t="s">
        <v>501</v>
      </c>
      <c r="C220" s="2" t="s">
        <v>24</v>
      </c>
      <c r="D220" s="2" t="s">
        <v>33</v>
      </c>
      <c r="E220" s="2" t="s">
        <v>84</v>
      </c>
      <c r="F220" s="2">
        <v>3.2</v>
      </c>
      <c r="G220" s="2" t="s">
        <v>30</v>
      </c>
      <c r="H220" s="9">
        <v>9.5</v>
      </c>
      <c r="I220" s="9">
        <v>2.1</v>
      </c>
      <c r="J220" s="2">
        <v>3</v>
      </c>
      <c r="K220" s="2" t="s">
        <v>17</v>
      </c>
      <c r="L220" s="19" t="str">
        <f t="shared" si="18"/>
        <v>July</v>
      </c>
      <c r="M220" s="12" t="str">
        <f t="shared" si="15"/>
        <v>Rated</v>
      </c>
      <c r="N220" s="12" t="str">
        <f t="shared" si="19"/>
        <v>Neutral</v>
      </c>
      <c r="O220" s="2" t="str">
        <f t="shared" si="16"/>
        <v>1 Day</v>
      </c>
      <c r="P220" s="2" t="str">
        <f t="shared" si="17"/>
        <v>Failed to meet SLA</v>
      </c>
    </row>
    <row r="221" spans="1:16" ht="15.75" customHeight="1" x14ac:dyDescent="0.35">
      <c r="A221" s="2" t="s">
        <v>502</v>
      </c>
      <c r="B221" s="4" t="s">
        <v>503</v>
      </c>
      <c r="C221" s="2" t="s">
        <v>24</v>
      </c>
      <c r="D221" s="2" t="s">
        <v>33</v>
      </c>
      <c r="E221" s="2" t="s">
        <v>119</v>
      </c>
      <c r="F221" s="2">
        <v>3.2</v>
      </c>
      <c r="G221" s="2" t="s">
        <v>16</v>
      </c>
      <c r="H221" s="9">
        <v>9.5</v>
      </c>
      <c r="I221" s="9">
        <v>10</v>
      </c>
      <c r="J221" s="2"/>
      <c r="K221" s="2" t="s">
        <v>17</v>
      </c>
      <c r="L221" s="19" t="str">
        <f t="shared" si="18"/>
        <v>July</v>
      </c>
      <c r="M221" s="12" t="str">
        <f t="shared" si="15"/>
        <v>Not Rated</v>
      </c>
      <c r="N221" s="12" t="str">
        <f t="shared" si="19"/>
        <v>Not Rated</v>
      </c>
      <c r="O221" s="2" t="str">
        <f t="shared" si="16"/>
        <v>1 Day</v>
      </c>
      <c r="P221" s="2" t="str">
        <f t="shared" si="17"/>
        <v>Failed to meet SLA</v>
      </c>
    </row>
    <row r="222" spans="1:16" ht="15.75" customHeight="1" x14ac:dyDescent="0.35">
      <c r="A222" s="2" t="s">
        <v>504</v>
      </c>
      <c r="B222" s="4" t="s">
        <v>505</v>
      </c>
      <c r="C222" s="2" t="s">
        <v>24</v>
      </c>
      <c r="D222" s="2" t="s">
        <v>52</v>
      </c>
      <c r="E222" s="2" t="s">
        <v>53</v>
      </c>
      <c r="F222" s="2">
        <v>3.2</v>
      </c>
      <c r="G222" s="2" t="s">
        <v>16</v>
      </c>
      <c r="H222" s="9">
        <v>4.0999999999999996</v>
      </c>
      <c r="I222" s="9">
        <v>52.9</v>
      </c>
      <c r="J222" s="2"/>
      <c r="K222" s="2" t="s">
        <v>17</v>
      </c>
      <c r="L222" s="19" t="str">
        <f t="shared" si="18"/>
        <v>July</v>
      </c>
      <c r="M222" s="12" t="str">
        <f t="shared" si="15"/>
        <v>Not Rated</v>
      </c>
      <c r="N222" s="12" t="str">
        <f t="shared" si="19"/>
        <v>Not Rated</v>
      </c>
      <c r="O222" s="2" t="str">
        <f t="shared" si="16"/>
        <v>More than 2 days</v>
      </c>
      <c r="P222" s="2" t="str">
        <f t="shared" si="17"/>
        <v>SLA met</v>
      </c>
    </row>
    <row r="223" spans="1:16" ht="15.75" customHeight="1" x14ac:dyDescent="0.35">
      <c r="A223" s="2" t="s">
        <v>506</v>
      </c>
      <c r="B223" s="4" t="s">
        <v>507</v>
      </c>
      <c r="C223" s="2" t="s">
        <v>13</v>
      </c>
      <c r="D223" s="2" t="s">
        <v>75</v>
      </c>
      <c r="E223" s="2" t="s">
        <v>241</v>
      </c>
      <c r="F223" s="2">
        <v>3.2</v>
      </c>
      <c r="G223" s="2" t="s">
        <v>30</v>
      </c>
      <c r="H223" s="9">
        <v>0.6</v>
      </c>
      <c r="I223" s="9">
        <v>16.2</v>
      </c>
      <c r="J223" s="2">
        <v>5</v>
      </c>
      <c r="K223" s="2" t="s">
        <v>17</v>
      </c>
      <c r="L223" s="19" t="str">
        <f t="shared" si="18"/>
        <v>July</v>
      </c>
      <c r="M223" s="12" t="str">
        <f t="shared" si="15"/>
        <v>Rated</v>
      </c>
      <c r="N223" s="12" t="str">
        <f t="shared" si="19"/>
        <v>Satisfied</v>
      </c>
      <c r="O223" s="2" t="str">
        <f t="shared" si="16"/>
        <v>1 Day</v>
      </c>
      <c r="P223" s="2" t="str">
        <f t="shared" si="17"/>
        <v>SLA met</v>
      </c>
    </row>
    <row r="224" spans="1:16" ht="15.75" customHeight="1" x14ac:dyDescent="0.35">
      <c r="A224" s="2" t="s">
        <v>508</v>
      </c>
      <c r="B224" s="4" t="s">
        <v>509</v>
      </c>
      <c r="C224" s="2" t="s">
        <v>24</v>
      </c>
      <c r="D224" s="2" t="s">
        <v>45</v>
      </c>
      <c r="E224" s="2" t="s">
        <v>178</v>
      </c>
      <c r="F224" s="2">
        <v>3.2</v>
      </c>
      <c r="G224" s="2" t="s">
        <v>30</v>
      </c>
      <c r="H224" s="9">
        <v>3.5</v>
      </c>
      <c r="I224" s="9">
        <v>23.9</v>
      </c>
      <c r="J224" s="2"/>
      <c r="K224" s="2" t="s">
        <v>17</v>
      </c>
      <c r="L224" s="19" t="str">
        <f t="shared" si="18"/>
        <v>July</v>
      </c>
      <c r="M224" s="12" t="str">
        <f t="shared" si="15"/>
        <v>Not Rated</v>
      </c>
      <c r="N224" s="12" t="str">
        <f t="shared" si="19"/>
        <v>Not Rated</v>
      </c>
      <c r="O224" s="2" t="str">
        <f t="shared" si="16"/>
        <v>1 Day</v>
      </c>
      <c r="P224" s="2" t="str">
        <f t="shared" si="17"/>
        <v>SLA met</v>
      </c>
    </row>
    <row r="225" spans="1:16" ht="15.75" customHeight="1" x14ac:dyDescent="0.35">
      <c r="A225" s="2" t="s">
        <v>510</v>
      </c>
      <c r="B225" s="4" t="s">
        <v>511</v>
      </c>
      <c r="C225" s="2" t="s">
        <v>24</v>
      </c>
      <c r="D225" s="2" t="s">
        <v>14</v>
      </c>
      <c r="E225" s="2" t="s">
        <v>81</v>
      </c>
      <c r="F225" s="2">
        <v>3.2</v>
      </c>
      <c r="G225" s="2" t="s">
        <v>16</v>
      </c>
      <c r="H225" s="9">
        <v>5.6</v>
      </c>
      <c r="I225" s="9">
        <v>6.8</v>
      </c>
      <c r="J225" s="2">
        <v>3</v>
      </c>
      <c r="K225" s="2" t="s">
        <v>17</v>
      </c>
      <c r="L225" s="19" t="str">
        <f t="shared" si="18"/>
        <v>July</v>
      </c>
      <c r="M225" s="12" t="str">
        <f t="shared" si="15"/>
        <v>Rated</v>
      </c>
      <c r="N225" s="12" t="str">
        <f t="shared" si="19"/>
        <v>Neutral</v>
      </c>
      <c r="O225" s="2" t="str">
        <f t="shared" si="16"/>
        <v>1 Day</v>
      </c>
      <c r="P225" s="2" t="str">
        <f t="shared" si="17"/>
        <v>SLA met</v>
      </c>
    </row>
    <row r="226" spans="1:16" ht="15.75" customHeight="1" x14ac:dyDescent="0.35">
      <c r="A226" s="2" t="s">
        <v>512</v>
      </c>
      <c r="B226" s="4" t="s">
        <v>513</v>
      </c>
      <c r="C226" s="2" t="s">
        <v>24</v>
      </c>
      <c r="D226" s="2" t="s">
        <v>14</v>
      </c>
      <c r="E226" s="2" t="s">
        <v>81</v>
      </c>
      <c r="F226" s="2">
        <v>3.2</v>
      </c>
      <c r="G226" s="2" t="s">
        <v>16</v>
      </c>
      <c r="H226" s="9">
        <v>4.9000000000000004</v>
      </c>
      <c r="I226" s="9">
        <v>16.2</v>
      </c>
      <c r="J226" s="2">
        <v>4</v>
      </c>
      <c r="K226" s="2" t="s">
        <v>17</v>
      </c>
      <c r="L226" s="19" t="str">
        <f t="shared" si="18"/>
        <v>July</v>
      </c>
      <c r="M226" s="12" t="str">
        <f t="shared" si="15"/>
        <v>Rated</v>
      </c>
      <c r="N226" s="12" t="str">
        <f t="shared" si="19"/>
        <v>Satisfied</v>
      </c>
      <c r="O226" s="2" t="str">
        <f t="shared" si="16"/>
        <v>1 Day</v>
      </c>
      <c r="P226" s="2" t="str">
        <f t="shared" si="17"/>
        <v>SLA met</v>
      </c>
    </row>
    <row r="227" spans="1:16" ht="15.75" customHeight="1" x14ac:dyDescent="0.35">
      <c r="A227" s="2" t="s">
        <v>514</v>
      </c>
      <c r="B227" s="4" t="s">
        <v>515</v>
      </c>
      <c r="C227" s="2" t="s">
        <v>24</v>
      </c>
      <c r="D227" s="2" t="s">
        <v>33</v>
      </c>
      <c r="E227" s="2" t="s">
        <v>205</v>
      </c>
      <c r="F227" s="2">
        <v>3.2</v>
      </c>
      <c r="G227" s="2" t="s">
        <v>16</v>
      </c>
      <c r="H227" s="9">
        <v>1.5</v>
      </c>
      <c r="I227" s="9"/>
      <c r="J227" s="2"/>
      <c r="K227" s="2" t="s">
        <v>516</v>
      </c>
      <c r="L227" s="19" t="str">
        <f t="shared" si="18"/>
        <v>July</v>
      </c>
      <c r="M227" s="12" t="str">
        <f t="shared" si="15"/>
        <v>Not Rated</v>
      </c>
      <c r="N227" s="12" t="str">
        <f t="shared" si="19"/>
        <v>Not Rated</v>
      </c>
      <c r="O227" s="2" t="str">
        <f t="shared" si="16"/>
        <v>1 Day</v>
      </c>
      <c r="P227" s="2" t="str">
        <f t="shared" si="17"/>
        <v>SLA met</v>
      </c>
    </row>
    <row r="228" spans="1:16" ht="15.75" customHeight="1" x14ac:dyDescent="0.35">
      <c r="A228" s="2" t="s">
        <v>517</v>
      </c>
      <c r="B228" s="4" t="s">
        <v>518</v>
      </c>
      <c r="C228" s="2" t="s">
        <v>13</v>
      </c>
      <c r="D228" s="2" t="s">
        <v>20</v>
      </c>
      <c r="E228" s="2" t="s">
        <v>21</v>
      </c>
      <c r="F228" s="2">
        <v>3.2</v>
      </c>
      <c r="G228" s="2" t="s">
        <v>30</v>
      </c>
      <c r="H228" s="9">
        <v>0.8</v>
      </c>
      <c r="I228" s="9"/>
      <c r="J228" s="2"/>
      <c r="K228" s="2" t="s">
        <v>516</v>
      </c>
      <c r="L228" s="19" t="str">
        <f t="shared" si="18"/>
        <v>July</v>
      </c>
      <c r="M228" s="12" t="str">
        <f t="shared" si="15"/>
        <v>Not Rated</v>
      </c>
      <c r="N228" s="12" t="str">
        <f t="shared" si="19"/>
        <v>Not Rated</v>
      </c>
      <c r="O228" s="2" t="str">
        <f t="shared" si="16"/>
        <v>1 Day</v>
      </c>
      <c r="P228" s="2" t="str">
        <f t="shared" si="17"/>
        <v>SLA met</v>
      </c>
    </row>
    <row r="229" spans="1:16" ht="15.75" customHeight="1" x14ac:dyDescent="0.35">
      <c r="A229" s="2" t="s">
        <v>519</v>
      </c>
      <c r="B229" s="4" t="s">
        <v>520</v>
      </c>
      <c r="C229" s="2" t="s">
        <v>24</v>
      </c>
      <c r="D229" s="2" t="s">
        <v>52</v>
      </c>
      <c r="E229" s="2" t="s">
        <v>323</v>
      </c>
      <c r="F229" s="2">
        <v>3.2</v>
      </c>
      <c r="G229" s="2" t="s">
        <v>30</v>
      </c>
      <c r="H229" s="9">
        <v>10.3</v>
      </c>
      <c r="I229" s="9">
        <v>33.200000000000003</v>
      </c>
      <c r="J229" s="2"/>
      <c r="K229" s="2" t="s">
        <v>17</v>
      </c>
      <c r="L229" s="19" t="str">
        <f t="shared" si="18"/>
        <v>July</v>
      </c>
      <c r="M229" s="12" t="str">
        <f t="shared" si="15"/>
        <v>Not Rated</v>
      </c>
      <c r="N229" s="12" t="str">
        <f t="shared" si="19"/>
        <v>Not Rated</v>
      </c>
      <c r="O229" s="2" t="str">
        <f t="shared" si="16"/>
        <v>2 Days</v>
      </c>
      <c r="P229" s="2" t="str">
        <f t="shared" si="17"/>
        <v>Failed to meet SLA</v>
      </c>
    </row>
    <row r="230" spans="1:16" ht="15.75" customHeight="1" x14ac:dyDescent="0.35">
      <c r="A230" s="2" t="s">
        <v>521</v>
      </c>
      <c r="B230" s="4" t="s">
        <v>522</v>
      </c>
      <c r="C230" s="2" t="s">
        <v>24</v>
      </c>
      <c r="D230" s="2" t="s">
        <v>45</v>
      </c>
      <c r="E230" s="2" t="s">
        <v>124</v>
      </c>
      <c r="F230" s="2">
        <v>3.2</v>
      </c>
      <c r="G230" s="2" t="s">
        <v>30</v>
      </c>
      <c r="H230" s="9">
        <v>5.0999999999999996</v>
      </c>
      <c r="I230" s="9">
        <v>59.7</v>
      </c>
      <c r="J230" s="2"/>
      <c r="K230" s="2" t="s">
        <v>17</v>
      </c>
      <c r="L230" s="19" t="str">
        <f t="shared" si="18"/>
        <v>July</v>
      </c>
      <c r="M230" s="12" t="str">
        <f t="shared" si="15"/>
        <v>Not Rated</v>
      </c>
      <c r="N230" s="12" t="str">
        <f t="shared" si="19"/>
        <v>Not Rated</v>
      </c>
      <c r="O230" s="2" t="str">
        <f t="shared" si="16"/>
        <v>More than 2 days</v>
      </c>
      <c r="P230" s="2" t="str">
        <f t="shared" si="17"/>
        <v>SLA met</v>
      </c>
    </row>
    <row r="231" spans="1:16" ht="15.75" customHeight="1" x14ac:dyDescent="0.35">
      <c r="A231" s="2" t="s">
        <v>523</v>
      </c>
      <c r="B231" s="4" t="s">
        <v>524</v>
      </c>
      <c r="C231" s="2" t="s">
        <v>24</v>
      </c>
      <c r="D231" s="2" t="s">
        <v>14</v>
      </c>
      <c r="E231" s="2" t="s">
        <v>56</v>
      </c>
      <c r="F231" s="2">
        <v>3.2</v>
      </c>
      <c r="G231" s="2" t="s">
        <v>16</v>
      </c>
      <c r="H231" s="9">
        <v>3.5</v>
      </c>
      <c r="I231" s="9">
        <v>21.1</v>
      </c>
      <c r="J231" s="2"/>
      <c r="K231" s="2" t="s">
        <v>17</v>
      </c>
      <c r="L231" s="19" t="str">
        <f t="shared" si="18"/>
        <v>July</v>
      </c>
      <c r="M231" s="12" t="str">
        <f t="shared" si="15"/>
        <v>Not Rated</v>
      </c>
      <c r="N231" s="12" t="str">
        <f t="shared" si="19"/>
        <v>Not Rated</v>
      </c>
      <c r="O231" s="2" t="str">
        <f t="shared" si="16"/>
        <v>1 Day</v>
      </c>
      <c r="P231" s="2" t="str">
        <f t="shared" si="17"/>
        <v>SLA met</v>
      </c>
    </row>
    <row r="232" spans="1:16" ht="15.75" customHeight="1" x14ac:dyDescent="0.35">
      <c r="A232" s="2" t="s">
        <v>525</v>
      </c>
      <c r="B232" s="4" t="s">
        <v>526</v>
      </c>
      <c r="C232" s="2" t="s">
        <v>13</v>
      </c>
      <c r="D232" s="2" t="s">
        <v>33</v>
      </c>
      <c r="E232" s="2" t="s">
        <v>34</v>
      </c>
      <c r="F232" s="2">
        <v>3.2</v>
      </c>
      <c r="G232" s="2" t="s">
        <v>16</v>
      </c>
      <c r="H232" s="9">
        <v>1.8</v>
      </c>
      <c r="I232" s="9">
        <v>25.2</v>
      </c>
      <c r="J232" s="2"/>
      <c r="K232" s="2" t="s">
        <v>17</v>
      </c>
      <c r="L232" s="19" t="str">
        <f t="shared" si="18"/>
        <v>July</v>
      </c>
      <c r="M232" s="12" t="str">
        <f t="shared" si="15"/>
        <v>Not Rated</v>
      </c>
      <c r="N232" s="12" t="str">
        <f t="shared" si="19"/>
        <v>Not Rated</v>
      </c>
      <c r="O232" s="2" t="str">
        <f t="shared" si="16"/>
        <v>2 Days</v>
      </c>
      <c r="P232" s="2" t="str">
        <f t="shared" si="17"/>
        <v>SLA met</v>
      </c>
    </row>
    <row r="233" spans="1:16" ht="15.75" customHeight="1" x14ac:dyDescent="0.35">
      <c r="A233" s="2" t="s">
        <v>527</v>
      </c>
      <c r="B233" s="4" t="s">
        <v>528</v>
      </c>
      <c r="C233" s="2" t="s">
        <v>13</v>
      </c>
      <c r="D233" s="2" t="s">
        <v>41</v>
      </c>
      <c r="E233" s="2" t="s">
        <v>187</v>
      </c>
      <c r="F233" s="2">
        <v>3.2</v>
      </c>
      <c r="G233" s="2" t="s">
        <v>30</v>
      </c>
      <c r="H233" s="9">
        <v>0.8</v>
      </c>
      <c r="I233" s="9"/>
      <c r="J233" s="2"/>
      <c r="K233" s="2" t="s">
        <v>529</v>
      </c>
      <c r="L233" s="19" t="str">
        <f t="shared" si="18"/>
        <v>July</v>
      </c>
      <c r="M233" s="12" t="str">
        <f t="shared" si="15"/>
        <v>Not Rated</v>
      </c>
      <c r="N233" s="12" t="str">
        <f t="shared" si="19"/>
        <v>Not Rated</v>
      </c>
      <c r="O233" s="2" t="str">
        <f t="shared" si="16"/>
        <v>1 Day</v>
      </c>
      <c r="P233" s="2" t="str">
        <f t="shared" si="17"/>
        <v>SLA met</v>
      </c>
    </row>
    <row r="234" spans="1:16" ht="15.75" customHeight="1" x14ac:dyDescent="0.35">
      <c r="A234" s="2" t="s">
        <v>530</v>
      </c>
      <c r="B234" s="4" t="s">
        <v>531</v>
      </c>
      <c r="C234" s="2" t="s">
        <v>13</v>
      </c>
      <c r="D234" s="2" t="s">
        <v>28</v>
      </c>
      <c r="E234" s="2" t="s">
        <v>59</v>
      </c>
      <c r="F234" s="2">
        <v>3.2</v>
      </c>
      <c r="G234" s="2" t="s">
        <v>30</v>
      </c>
      <c r="H234" s="9">
        <v>0.9</v>
      </c>
      <c r="I234" s="9">
        <v>17.2</v>
      </c>
      <c r="J234" s="2">
        <v>4</v>
      </c>
      <c r="K234" s="2" t="s">
        <v>17</v>
      </c>
      <c r="L234" s="19" t="str">
        <f t="shared" si="18"/>
        <v>July</v>
      </c>
      <c r="M234" s="12" t="str">
        <f t="shared" si="15"/>
        <v>Rated</v>
      </c>
      <c r="N234" s="12" t="str">
        <f t="shared" si="19"/>
        <v>Satisfied</v>
      </c>
      <c r="O234" s="2" t="str">
        <f t="shared" si="16"/>
        <v>1 Day</v>
      </c>
      <c r="P234" s="2" t="str">
        <f t="shared" si="17"/>
        <v>SLA met</v>
      </c>
    </row>
    <row r="235" spans="1:16" ht="15.75" customHeight="1" x14ac:dyDescent="0.35">
      <c r="A235" s="2" t="s">
        <v>532</v>
      </c>
      <c r="B235" s="4" t="s">
        <v>533</v>
      </c>
      <c r="C235" s="2" t="s">
        <v>24</v>
      </c>
      <c r="D235" s="2" t="s">
        <v>20</v>
      </c>
      <c r="E235" s="2" t="s">
        <v>149</v>
      </c>
      <c r="F235" s="2">
        <v>3.2</v>
      </c>
      <c r="G235" s="2" t="s">
        <v>16</v>
      </c>
      <c r="H235" s="9">
        <v>12</v>
      </c>
      <c r="I235" s="9">
        <v>7.8</v>
      </c>
      <c r="J235" s="2">
        <v>4</v>
      </c>
      <c r="K235" s="2" t="s">
        <v>17</v>
      </c>
      <c r="L235" s="19" t="str">
        <f t="shared" si="18"/>
        <v>July</v>
      </c>
      <c r="M235" s="12" t="str">
        <f t="shared" si="15"/>
        <v>Rated</v>
      </c>
      <c r="N235" s="12" t="str">
        <f t="shared" si="19"/>
        <v>Satisfied</v>
      </c>
      <c r="O235" s="2" t="str">
        <f t="shared" si="16"/>
        <v>1 Day</v>
      </c>
      <c r="P235" s="2" t="str">
        <f t="shared" si="17"/>
        <v>Failed to meet SLA</v>
      </c>
    </row>
    <row r="236" spans="1:16" ht="15.75" customHeight="1" x14ac:dyDescent="0.35">
      <c r="A236" s="2" t="s">
        <v>534</v>
      </c>
      <c r="B236" s="4" t="s">
        <v>535</v>
      </c>
      <c r="C236" s="2" t="s">
        <v>24</v>
      </c>
      <c r="D236" s="2" t="s">
        <v>28</v>
      </c>
      <c r="E236" s="2" t="s">
        <v>95</v>
      </c>
      <c r="F236" s="2">
        <v>3.2</v>
      </c>
      <c r="G236" s="2" t="s">
        <v>16</v>
      </c>
      <c r="H236" s="9">
        <v>9.4</v>
      </c>
      <c r="I236" s="9">
        <v>16.3</v>
      </c>
      <c r="J236" s="2"/>
      <c r="K236" s="2" t="s">
        <v>17</v>
      </c>
      <c r="L236" s="19" t="str">
        <f t="shared" si="18"/>
        <v>July</v>
      </c>
      <c r="M236" s="12" t="str">
        <f t="shared" si="15"/>
        <v>Not Rated</v>
      </c>
      <c r="N236" s="12" t="str">
        <f t="shared" si="19"/>
        <v>Not Rated</v>
      </c>
      <c r="O236" s="2" t="str">
        <f t="shared" si="16"/>
        <v>1 Day</v>
      </c>
      <c r="P236" s="2" t="str">
        <f t="shared" si="17"/>
        <v>Failed to meet SLA</v>
      </c>
    </row>
    <row r="237" spans="1:16" ht="15.75" customHeight="1" x14ac:dyDescent="0.35">
      <c r="A237" s="2" t="s">
        <v>536</v>
      </c>
      <c r="B237" s="4" t="s">
        <v>537</v>
      </c>
      <c r="C237" s="2" t="s">
        <v>13</v>
      </c>
      <c r="D237" s="2" t="s">
        <v>14</v>
      </c>
      <c r="E237" s="2" t="s">
        <v>81</v>
      </c>
      <c r="F237" s="2">
        <v>3.2</v>
      </c>
      <c r="G237" s="2" t="s">
        <v>30</v>
      </c>
      <c r="H237" s="9">
        <v>0.8</v>
      </c>
      <c r="I237" s="9"/>
      <c r="J237" s="2"/>
      <c r="K237" s="2" t="s">
        <v>529</v>
      </c>
      <c r="L237" s="19" t="str">
        <f t="shared" si="18"/>
        <v>July</v>
      </c>
      <c r="M237" s="12" t="str">
        <f t="shared" si="15"/>
        <v>Not Rated</v>
      </c>
      <c r="N237" s="12" t="str">
        <f t="shared" si="19"/>
        <v>Not Rated</v>
      </c>
      <c r="O237" s="2" t="str">
        <f t="shared" si="16"/>
        <v>1 Day</v>
      </c>
      <c r="P237" s="2" t="str">
        <f t="shared" si="17"/>
        <v>SLA met</v>
      </c>
    </row>
    <row r="238" spans="1:16" ht="15.75" customHeight="1" x14ac:dyDescent="0.35">
      <c r="A238" s="2" t="s">
        <v>538</v>
      </c>
      <c r="B238" s="4" t="s">
        <v>539</v>
      </c>
      <c r="C238" s="2" t="s">
        <v>24</v>
      </c>
      <c r="D238" s="2" t="s">
        <v>41</v>
      </c>
      <c r="E238" s="2" t="s">
        <v>42</v>
      </c>
      <c r="F238" s="2">
        <v>3.2</v>
      </c>
      <c r="G238" s="2" t="s">
        <v>16</v>
      </c>
      <c r="H238" s="9">
        <v>11.9</v>
      </c>
      <c r="I238" s="9">
        <v>71.7</v>
      </c>
      <c r="J238" s="2">
        <v>3</v>
      </c>
      <c r="K238" s="2" t="s">
        <v>17</v>
      </c>
      <c r="L238" s="19" t="str">
        <f t="shared" si="18"/>
        <v>July</v>
      </c>
      <c r="M238" s="12" t="str">
        <f t="shared" si="15"/>
        <v>Rated</v>
      </c>
      <c r="N238" s="12" t="str">
        <f t="shared" si="19"/>
        <v>Neutral</v>
      </c>
      <c r="O238" s="2" t="str">
        <f t="shared" si="16"/>
        <v>More than 2 days</v>
      </c>
      <c r="P238" s="2" t="str">
        <f t="shared" si="17"/>
        <v>Failed to meet SLA</v>
      </c>
    </row>
    <row r="239" spans="1:16" ht="15.75" customHeight="1" x14ac:dyDescent="0.35">
      <c r="A239" s="2" t="s">
        <v>540</v>
      </c>
      <c r="B239" s="4" t="s">
        <v>541</v>
      </c>
      <c r="C239" s="2" t="s">
        <v>24</v>
      </c>
      <c r="D239" s="2" t="s">
        <v>45</v>
      </c>
      <c r="E239" s="2" t="s">
        <v>124</v>
      </c>
      <c r="F239" s="2">
        <v>3.2</v>
      </c>
      <c r="G239" s="2" t="s">
        <v>30</v>
      </c>
      <c r="H239" s="9">
        <v>9.6999999999999993</v>
      </c>
      <c r="I239" s="9">
        <v>15.2</v>
      </c>
      <c r="J239" s="2">
        <v>5</v>
      </c>
      <c r="K239" s="2" t="s">
        <v>17</v>
      </c>
      <c r="L239" s="19" t="str">
        <f t="shared" si="18"/>
        <v>July</v>
      </c>
      <c r="M239" s="12" t="str">
        <f t="shared" si="15"/>
        <v>Rated</v>
      </c>
      <c r="N239" s="12" t="str">
        <f t="shared" si="19"/>
        <v>Satisfied</v>
      </c>
      <c r="O239" s="2" t="str">
        <f t="shared" si="16"/>
        <v>1 Day</v>
      </c>
      <c r="P239" s="2" t="str">
        <f t="shared" si="17"/>
        <v>Failed to meet SLA</v>
      </c>
    </row>
    <row r="240" spans="1:16" ht="15.75" customHeight="1" x14ac:dyDescent="0.35">
      <c r="A240" s="2" t="s">
        <v>542</v>
      </c>
      <c r="B240" s="4" t="s">
        <v>543</v>
      </c>
      <c r="C240" s="2" t="s">
        <v>13</v>
      </c>
      <c r="D240" s="2" t="s">
        <v>52</v>
      </c>
      <c r="E240" s="2" t="s">
        <v>173</v>
      </c>
      <c r="F240" s="2">
        <v>3.2</v>
      </c>
      <c r="G240" s="2" t="s">
        <v>30</v>
      </c>
      <c r="H240" s="9">
        <v>1.1000000000000001</v>
      </c>
      <c r="I240" s="9"/>
      <c r="J240" s="2"/>
      <c r="K240" s="2" t="s">
        <v>516</v>
      </c>
      <c r="L240" s="19" t="str">
        <f t="shared" si="18"/>
        <v>July</v>
      </c>
      <c r="M240" s="12" t="str">
        <f t="shared" si="15"/>
        <v>Not Rated</v>
      </c>
      <c r="N240" s="12" t="str">
        <f t="shared" si="19"/>
        <v>Not Rated</v>
      </c>
      <c r="O240" s="2" t="str">
        <f t="shared" si="16"/>
        <v>1 Day</v>
      </c>
      <c r="P240" s="2" t="str">
        <f t="shared" si="17"/>
        <v>SLA met</v>
      </c>
    </row>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workbookViewId="0">
      <pane ySplit="1" topLeftCell="A2" activePane="bottomLeft" state="frozen"/>
      <selection pane="bottomLeft" activeCell="B18" sqref="B18"/>
    </sheetView>
  </sheetViews>
  <sheetFormatPr defaultColWidth="14.453125" defaultRowHeight="15" customHeight="1" x14ac:dyDescent="0.35"/>
  <cols>
    <col min="1" max="1" width="22" customWidth="1"/>
    <col min="2" max="2" width="84.453125" bestFit="1" customWidth="1"/>
    <col min="3" max="3" width="60" customWidth="1"/>
    <col min="4" max="26" width="8.7265625" customWidth="1"/>
  </cols>
  <sheetData>
    <row r="1" spans="1:3" ht="14.5" x14ac:dyDescent="0.35">
      <c r="A1" s="1" t="s">
        <v>544</v>
      </c>
      <c r="B1" s="1" t="s">
        <v>545</v>
      </c>
      <c r="C1" s="1" t="s">
        <v>546</v>
      </c>
    </row>
    <row r="2" spans="1:3" ht="14.5" x14ac:dyDescent="0.35">
      <c r="A2" s="2" t="s">
        <v>0</v>
      </c>
      <c r="B2" s="2" t="s">
        <v>547</v>
      </c>
      <c r="C2" s="2" t="s">
        <v>548</v>
      </c>
    </row>
    <row r="3" spans="1:3" ht="14.5" x14ac:dyDescent="0.35">
      <c r="A3" s="2" t="s">
        <v>1</v>
      </c>
      <c r="B3" s="2" t="s">
        <v>549</v>
      </c>
      <c r="C3" s="2" t="s">
        <v>550</v>
      </c>
    </row>
    <row r="4" spans="1:3" ht="14.5" x14ac:dyDescent="0.35">
      <c r="A4" s="2" t="s">
        <v>2</v>
      </c>
      <c r="B4" s="2" t="s">
        <v>551</v>
      </c>
      <c r="C4" s="2" t="s">
        <v>552</v>
      </c>
    </row>
    <row r="5" spans="1:3" ht="14.5" x14ac:dyDescent="0.35">
      <c r="A5" s="2" t="s">
        <v>3</v>
      </c>
      <c r="B5" s="2" t="s">
        <v>553</v>
      </c>
      <c r="C5" s="2" t="s">
        <v>554</v>
      </c>
    </row>
    <row r="6" spans="1:3" ht="14.5" x14ac:dyDescent="0.35">
      <c r="A6" s="2" t="s">
        <v>4</v>
      </c>
      <c r="B6" s="2" t="s">
        <v>555</v>
      </c>
      <c r="C6" s="2" t="s">
        <v>548</v>
      </c>
    </row>
    <row r="7" spans="1:3" ht="14.5" x14ac:dyDescent="0.35">
      <c r="A7" s="2" t="s">
        <v>5</v>
      </c>
      <c r="B7" s="2" t="s">
        <v>556</v>
      </c>
      <c r="C7" s="2" t="s">
        <v>557</v>
      </c>
    </row>
    <row r="8" spans="1:3" ht="14.5" x14ac:dyDescent="0.35">
      <c r="A8" s="2" t="s">
        <v>6</v>
      </c>
      <c r="B8" s="2" t="s">
        <v>558</v>
      </c>
      <c r="C8" s="2" t="s">
        <v>559</v>
      </c>
    </row>
    <row r="9" spans="1:3" ht="14.5" x14ac:dyDescent="0.35">
      <c r="A9" s="2" t="s">
        <v>7</v>
      </c>
      <c r="B9" s="2" t="s">
        <v>560</v>
      </c>
      <c r="C9" s="2" t="s">
        <v>561</v>
      </c>
    </row>
    <row r="10" spans="1:3" ht="14.5" x14ac:dyDescent="0.35">
      <c r="A10" s="2" t="s">
        <v>8</v>
      </c>
      <c r="B10" s="2" t="s">
        <v>562</v>
      </c>
      <c r="C10" s="2" t="s">
        <v>563</v>
      </c>
    </row>
    <row r="11" spans="1:3" ht="14.5" x14ac:dyDescent="0.35">
      <c r="A11" s="2" t="s">
        <v>9</v>
      </c>
      <c r="B11" s="2" t="s">
        <v>564</v>
      </c>
      <c r="C11" s="2" t="s">
        <v>565</v>
      </c>
    </row>
    <row r="12" spans="1:3" ht="14.5" x14ac:dyDescent="0.35">
      <c r="A12" s="2" t="s">
        <v>10</v>
      </c>
      <c r="B12" s="2" t="s">
        <v>566</v>
      </c>
      <c r="C12" s="2" t="s">
        <v>567</v>
      </c>
    </row>
    <row r="14" spans="1:3" ht="15" customHeight="1" x14ac:dyDescent="0.35">
      <c r="A14" s="2" t="s">
        <v>585</v>
      </c>
      <c r="B14" s="2" t="s">
        <v>586</v>
      </c>
      <c r="C14" s="2" t="s">
        <v>548</v>
      </c>
    </row>
    <row r="15" spans="1:3" ht="15" customHeight="1" x14ac:dyDescent="0.35">
      <c r="A15" s="2" t="s">
        <v>569</v>
      </c>
      <c r="B15" s="2" t="s">
        <v>587</v>
      </c>
      <c r="C15" s="2" t="s">
        <v>548</v>
      </c>
    </row>
    <row r="16" spans="1:3" ht="30" customHeight="1" x14ac:dyDescent="0.35">
      <c r="A16" s="2" t="s">
        <v>570</v>
      </c>
      <c r="B16" s="20" t="s">
        <v>588</v>
      </c>
      <c r="C16" s="2" t="s">
        <v>548</v>
      </c>
    </row>
    <row r="17" spans="1:3" ht="29.5" customHeight="1" x14ac:dyDescent="0.35">
      <c r="A17" s="2" t="s">
        <v>578</v>
      </c>
      <c r="B17" s="20" t="s">
        <v>589</v>
      </c>
      <c r="C17" s="2" t="s">
        <v>548</v>
      </c>
    </row>
    <row r="18" spans="1:3" ht="30" customHeight="1" x14ac:dyDescent="0.35">
      <c r="A18" s="2" t="s">
        <v>582</v>
      </c>
      <c r="B18" s="21" t="s">
        <v>590</v>
      </c>
      <c r="C18" s="2" t="s">
        <v>548</v>
      </c>
    </row>
    <row r="21" spans="1:3" ht="15.75" customHeight="1" x14ac:dyDescent="0.35"/>
    <row r="22" spans="1:3" ht="15.75" customHeight="1" x14ac:dyDescent="0.35"/>
    <row r="23" spans="1:3" ht="15.75" customHeight="1" x14ac:dyDescent="0.35"/>
    <row r="24" spans="1:3" ht="15.75" customHeight="1" x14ac:dyDescent="0.35"/>
    <row r="25" spans="1:3" ht="15.75" customHeight="1" x14ac:dyDescent="0.35"/>
    <row r="26" spans="1:3" ht="15.75" customHeight="1" x14ac:dyDescent="0.35"/>
    <row r="27" spans="1:3" ht="15.75" customHeight="1" x14ac:dyDescent="0.35"/>
    <row r="28" spans="1:3" ht="15.75" customHeight="1" x14ac:dyDescent="0.35"/>
    <row r="29" spans="1:3" ht="15.75" customHeight="1" x14ac:dyDescent="0.35"/>
    <row r="30" spans="1:3" ht="15.75" customHeight="1" x14ac:dyDescent="0.35"/>
    <row r="31" spans="1:3" ht="15.75" customHeight="1" x14ac:dyDescent="0.35"/>
    <row r="32" spans="1:3"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2A898-0662-4149-AA08-538550379160}">
  <dimension ref="A3:B11"/>
  <sheetViews>
    <sheetView workbookViewId="0">
      <selection activeCell="C14" sqref="C14"/>
    </sheetView>
  </sheetViews>
  <sheetFormatPr defaultRowHeight="14.5" x14ac:dyDescent="0.35"/>
  <cols>
    <col min="1" max="1" width="16.6328125" bestFit="1" customWidth="1"/>
    <col min="2" max="2" width="15.90625" bestFit="1" customWidth="1"/>
  </cols>
  <sheetData>
    <row r="3" spans="1:2" x14ac:dyDescent="0.35">
      <c r="A3" s="16" t="s">
        <v>3</v>
      </c>
      <c r="B3" t="s">
        <v>575</v>
      </c>
    </row>
    <row r="4" spans="1:2" x14ac:dyDescent="0.35">
      <c r="A4" t="s">
        <v>20</v>
      </c>
      <c r="B4" s="24">
        <v>23</v>
      </c>
    </row>
    <row r="5" spans="1:2" x14ac:dyDescent="0.35">
      <c r="A5" t="s">
        <v>41</v>
      </c>
      <c r="B5" s="24">
        <v>21</v>
      </c>
    </row>
    <row r="6" spans="1:2" x14ac:dyDescent="0.35">
      <c r="A6" t="s">
        <v>33</v>
      </c>
      <c r="B6" s="24">
        <v>39</v>
      </c>
    </row>
    <row r="7" spans="1:2" x14ac:dyDescent="0.35">
      <c r="A7" t="s">
        <v>14</v>
      </c>
      <c r="B7" s="24">
        <v>51</v>
      </c>
    </row>
    <row r="8" spans="1:2" x14ac:dyDescent="0.35">
      <c r="A8" t="s">
        <v>75</v>
      </c>
      <c r="B8" s="24">
        <v>16</v>
      </c>
    </row>
    <row r="9" spans="1:2" x14ac:dyDescent="0.35">
      <c r="A9" t="s">
        <v>45</v>
      </c>
      <c r="B9" s="24">
        <v>21</v>
      </c>
    </row>
    <row r="10" spans="1:2" x14ac:dyDescent="0.35">
      <c r="A10" t="s">
        <v>28</v>
      </c>
      <c r="B10" s="24">
        <v>29</v>
      </c>
    </row>
    <row r="11" spans="1:2" x14ac:dyDescent="0.35">
      <c r="A11" t="s">
        <v>52</v>
      </c>
      <c r="B11" s="24">
        <v>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B81B9-89C6-41BA-BA6D-A63098E2F983}">
  <dimension ref="A3:B5"/>
  <sheetViews>
    <sheetView workbookViewId="0">
      <selection activeCell="D14" sqref="D14"/>
    </sheetView>
  </sheetViews>
  <sheetFormatPr defaultRowHeight="14.5" x14ac:dyDescent="0.35"/>
  <cols>
    <col min="1" max="1" width="9.6328125" bestFit="1" customWidth="1"/>
    <col min="2" max="2" width="15.90625" bestFit="1" customWidth="1"/>
  </cols>
  <sheetData>
    <row r="3" spans="1:2" x14ac:dyDescent="0.35">
      <c r="A3" s="16" t="s">
        <v>2</v>
      </c>
      <c r="B3" t="s">
        <v>575</v>
      </c>
    </row>
    <row r="4" spans="1:2" x14ac:dyDescent="0.35">
      <c r="A4" t="s">
        <v>13</v>
      </c>
      <c r="B4" s="24">
        <v>116</v>
      </c>
    </row>
    <row r="5" spans="1:2" x14ac:dyDescent="0.35">
      <c r="A5" t="s">
        <v>24</v>
      </c>
      <c r="B5" s="24">
        <v>123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E29DE-C079-4008-B556-263A5197FAD3}">
  <dimension ref="A3:B5"/>
  <sheetViews>
    <sheetView workbookViewId="0">
      <selection activeCell="D11" sqref="D11"/>
    </sheetView>
  </sheetViews>
  <sheetFormatPr defaultRowHeight="14.5" x14ac:dyDescent="0.35"/>
  <cols>
    <col min="1" max="1" width="13.36328125" bestFit="1" customWidth="1"/>
    <col min="2" max="2" width="15.90625" bestFit="1" customWidth="1"/>
  </cols>
  <sheetData>
    <row r="3" spans="1:2" x14ac:dyDescent="0.35">
      <c r="A3" s="16" t="s">
        <v>5</v>
      </c>
      <c r="B3" t="s">
        <v>575</v>
      </c>
    </row>
    <row r="4" spans="1:2" x14ac:dyDescent="0.35">
      <c r="A4">
        <v>3.1</v>
      </c>
      <c r="B4" s="24">
        <v>128</v>
      </c>
    </row>
    <row r="5" spans="1:2" x14ac:dyDescent="0.35">
      <c r="A5">
        <v>3.2</v>
      </c>
      <c r="B5" s="24">
        <v>111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56F0D-6032-45D5-8C63-65772F43E34E}">
  <dimension ref="A3:B5"/>
  <sheetViews>
    <sheetView workbookViewId="0">
      <selection activeCell="B22" sqref="B22"/>
    </sheetView>
  </sheetViews>
  <sheetFormatPr defaultRowHeight="14.5" x14ac:dyDescent="0.35"/>
  <cols>
    <col min="1" max="1" width="7.54296875" bestFit="1" customWidth="1"/>
    <col min="2" max="2" width="15.90625" bestFit="1" customWidth="1"/>
  </cols>
  <sheetData>
    <row r="3" spans="1:2" x14ac:dyDescent="0.35">
      <c r="A3" s="16" t="s">
        <v>6</v>
      </c>
      <c r="B3" t="s">
        <v>575</v>
      </c>
    </row>
    <row r="4" spans="1:2" x14ac:dyDescent="0.35">
      <c r="A4" t="s">
        <v>16</v>
      </c>
      <c r="B4" s="24">
        <v>127</v>
      </c>
    </row>
    <row r="5" spans="1:2" x14ac:dyDescent="0.35">
      <c r="A5" t="s">
        <v>30</v>
      </c>
      <c r="B5" s="24">
        <v>112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DD248-F0AE-4286-8051-5166E940168E}">
  <dimension ref="A3:B7"/>
  <sheetViews>
    <sheetView workbookViewId="0">
      <selection activeCell="B4" sqref="B4"/>
    </sheetView>
  </sheetViews>
  <sheetFormatPr defaultRowHeight="14.5" x14ac:dyDescent="0.35"/>
  <cols>
    <col min="1" max="1" width="13.1796875" bestFit="1" customWidth="1"/>
    <col min="2" max="2" width="15.90625" bestFit="1" customWidth="1"/>
  </cols>
  <sheetData>
    <row r="3" spans="1:2" x14ac:dyDescent="0.35">
      <c r="A3" s="16" t="s">
        <v>570</v>
      </c>
      <c r="B3" t="s">
        <v>575</v>
      </c>
    </row>
    <row r="4" spans="1:2" x14ac:dyDescent="0.35">
      <c r="A4" t="s">
        <v>574</v>
      </c>
      <c r="B4" s="24">
        <v>28</v>
      </c>
    </row>
    <row r="5" spans="1:2" x14ac:dyDescent="0.35">
      <c r="A5" t="s">
        <v>571</v>
      </c>
      <c r="B5" s="24">
        <v>43</v>
      </c>
    </row>
    <row r="6" spans="1:2" x14ac:dyDescent="0.35">
      <c r="A6" t="s">
        <v>573</v>
      </c>
      <c r="B6" s="24">
        <v>102</v>
      </c>
    </row>
    <row r="7" spans="1:2" x14ac:dyDescent="0.35">
      <c r="A7" t="s">
        <v>572</v>
      </c>
      <c r="B7" s="24">
        <v>66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0C58D-A7A3-43FE-B886-F3EE21D13505}">
  <dimension ref="A3:B5"/>
  <sheetViews>
    <sheetView workbookViewId="0">
      <selection activeCell="B15" sqref="B15"/>
    </sheetView>
  </sheetViews>
  <sheetFormatPr defaultRowHeight="14.5" x14ac:dyDescent="0.35"/>
  <cols>
    <col min="1" max="1" width="12.36328125" bestFit="1" customWidth="1"/>
    <col min="2" max="2" width="15.90625" bestFit="1" customWidth="1"/>
  </cols>
  <sheetData>
    <row r="3" spans="1:2" x14ac:dyDescent="0.35">
      <c r="A3" s="16" t="s">
        <v>576</v>
      </c>
      <c r="B3" t="s">
        <v>575</v>
      </c>
    </row>
    <row r="4" spans="1:2" x14ac:dyDescent="0.35">
      <c r="A4" s="17" t="s">
        <v>573</v>
      </c>
      <c r="B4" s="24">
        <v>102</v>
      </c>
    </row>
    <row r="5" spans="1:2" x14ac:dyDescent="0.35">
      <c r="A5" s="17" t="s">
        <v>577</v>
      </c>
      <c r="B5" s="24">
        <v>137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8A982-FB30-491D-B7F9-BBBC27885F11}">
  <dimension ref="A3:B6"/>
  <sheetViews>
    <sheetView workbookViewId="0">
      <selection activeCell="C23" sqref="C23"/>
    </sheetView>
  </sheetViews>
  <sheetFormatPr defaultRowHeight="14.5" x14ac:dyDescent="0.35"/>
  <cols>
    <col min="1" max="1" width="22.7265625" bestFit="1" customWidth="1"/>
    <col min="2" max="2" width="15.90625" bestFit="1" customWidth="1"/>
  </cols>
  <sheetData>
    <row r="3" spans="1:2" x14ac:dyDescent="0.35">
      <c r="A3" s="16" t="s">
        <v>578</v>
      </c>
      <c r="B3" t="s">
        <v>575</v>
      </c>
    </row>
    <row r="4" spans="1:2" x14ac:dyDescent="0.35">
      <c r="A4" t="s">
        <v>579</v>
      </c>
      <c r="B4" s="24">
        <v>157</v>
      </c>
    </row>
    <row r="5" spans="1:2" x14ac:dyDescent="0.35">
      <c r="A5" t="s">
        <v>580</v>
      </c>
      <c r="B5" s="24">
        <v>59</v>
      </c>
    </row>
    <row r="6" spans="1:2" x14ac:dyDescent="0.35">
      <c r="A6" t="s">
        <v>581</v>
      </c>
      <c r="B6" s="24">
        <v>23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7FACC-E002-475D-83E9-D1B81C56F82A}">
  <dimension ref="A3:B5"/>
  <sheetViews>
    <sheetView workbookViewId="0">
      <selection activeCell="A3" sqref="A3"/>
    </sheetView>
  </sheetViews>
  <sheetFormatPr defaultRowHeight="14.5" x14ac:dyDescent="0.35"/>
  <cols>
    <col min="1" max="1" width="22.90625" bestFit="1" customWidth="1"/>
    <col min="2" max="2" width="15.90625" bestFit="1" customWidth="1"/>
  </cols>
  <sheetData>
    <row r="3" spans="1:2" x14ac:dyDescent="0.35">
      <c r="A3" s="16" t="s">
        <v>582</v>
      </c>
      <c r="B3" t="s">
        <v>575</v>
      </c>
    </row>
    <row r="4" spans="1:2" x14ac:dyDescent="0.35">
      <c r="A4" t="s">
        <v>583</v>
      </c>
      <c r="B4" s="24">
        <v>67</v>
      </c>
    </row>
    <row r="5" spans="1:2" x14ac:dyDescent="0.35">
      <c r="A5" t="s">
        <v>584</v>
      </c>
      <c r="B5" s="24">
        <v>172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 Support Dashboard</vt:lpstr>
      <vt:lpstr>tickets</vt:lpstr>
      <vt:lpstr>data_dictionary</vt:lpstr>
      <vt:lpstr>1. Total Tickets by Category</vt:lpstr>
      <vt:lpstr>2. Tickets by Channel</vt:lpstr>
      <vt:lpstr>3. Tickets by App Version</vt:lpstr>
      <vt:lpstr>4. Tickets by OS</vt:lpstr>
      <vt:lpstr>5. Customer Satisfaction</vt:lpstr>
      <vt:lpstr>6. Customer Support Rating</vt:lpstr>
      <vt:lpstr>7. Time taken to resolve ticket</vt:lpstr>
      <vt:lpstr>8. SLA for First Response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Krishna Thakor</cp:lastModifiedBy>
  <dcterms:modified xsi:type="dcterms:W3CDTF">2026-09-10T10:07:41Z</dcterms:modified>
</cp:coreProperties>
</file>